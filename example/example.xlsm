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radb\Documents\Python\example\"/>
    </mc:Choice>
  </mc:AlternateContent>
  <xr:revisionPtr revIDLastSave="0" documentId="13_ncr:1_{64B0EA24-82EC-4021-81E9-2CD612BD43D6}" xr6:coauthVersionLast="43" xr6:coauthVersionMax="43" xr10:uidLastSave="{00000000-0000-0000-0000-000000000000}"/>
  <bookViews>
    <workbookView xWindow="-98" yWindow="-98" windowWidth="21795" windowHeight="13096" tabRatio="500" activeTab="3" xr2:uid="{00000000-000D-0000-FFFF-FFFF00000000}"/>
  </bookViews>
  <sheets>
    <sheet name="Raw Data" sheetId="1" r:id="rId1"/>
    <sheet name="Constants" sheetId="3" r:id="rId2"/>
    <sheet name="Formulae" sheetId="6" r:id="rId3"/>
    <sheet name="Growing Degree Day" sheetId="5" r:id="rId4"/>
    <sheet name="_xlwings.conf" sheetId="2" r:id="rId5"/>
    <sheet name="FlyingKoala.conf" sheetId="7" r:id="rId6"/>
  </sheets>
  <functionGroups builtInGroupCount="19">
    <functionGroup name="xlwings"/>
  </functionGroups>
  <definedNames>
    <definedName name="Equation_1">Formulae!$B$5</definedName>
    <definedName name="Equation_2">Formulae!$B$6</definedName>
    <definedName name="T_base">Constants!$B$3</definedName>
    <definedName name="T_max">Formulae!$C$5</definedName>
    <definedName name="T_min">Formulae!$D$5</definedName>
  </definedNames>
  <calcPr calcId="191029" concurrentCalc="0"/>
  <extLst>
    <ext xmlns:x14="http://schemas.microsoft.com/office/spreadsheetml/2009/9/main" uri="{8193D73E-4604-4355-AFF4-8A2333D13BE4}">
      <x14:definedNames>
        <x14:definedName name="DegreeDay">
          <x14:argumentDescriptions count="3">
            <x14:argumentDescription index="0">Name, as a string, of the model which will be evaluated. The Excel cell name / named range</x14:argumentDescription>
            <x14:argumentDescription index="1">Daily minimum temperature</x14:argumentDescription>
            <x14:argumentDescription index="2">Daily maximum temperature</x14:argumentDescription>
          </x14:argumentDescriptions>
        </x14:definedName>
        <x14:definedName name="DegreeDayA">
          <x14:argumentDescriptions count="1">
            <x14:argumentDescription index="0">Name, as a string, of the model which will be assessed</x14:argumentDescription>
          </x14:argumentDescriptions>
        </x14:definedName>
        <x14:definedName name="DegreeDayB">
          <x14:argumentDescriptions count="1">
            <x14:argumentDescription index="0">Name, as a string, of the model which will be assessed</x14:argumentDescription>
          </x14:argumentDescriptions>
        </x14:definedName>
        <x14:definedName name="DegreeDayDynamicArray">
          <x14:argumentDescriptions count="3">
            <x14:argumentDescription index="0">Name, as a string, of the model which will be evaluated. The Excel cell name / named range.</x14:argumentDescription>
            <x14:argumentDescription index="1">Daily minimum temperature</x14:argumentDescription>
            <x14:argumentDescription index="2">Daily maximum temperature</x14:argumentDescription>
          </x14:argumentDescriptions>
        </x14:definedName>
        <x14:definedName name="evaluate_koala_mod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valuateKoalaModel">
          <x14:argumentDescriptions count="3">
            <x14:argumentDescription index="0">The name (as a string) of the model requiring evaluation</x14:argumentDescription>
            <x14:argumentDescription index="1">An Excel Range of the terms to evaluate including headers which match input paramters</x14:argumentDescription>
            <x14:argumentDescription index="2">Positional argument 3</x14:argumentDescription>
          </x14:argumentDescriptions>
        </x14:definedName>
        <x14:definedName name="FILTERED">
          <x14:argumentDescriptions count="3">
            <x14:argumentDescription index="0">The name of the filter for this particular series.</x14:argumentDescription>
            <x14:argumentDescription index="4">The action which will be taken when a value is not within constraint.</x14:argumentDescription>
            <x14:argumentDescription index="5">This is the value you want to average from.</x14:argumentDescription>
          </x14:argumentDescriptions>
        </x14:definedName>
        <x14:definedName name="generate_model_grap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ModelGrap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is_koala_model_cached">
          <x14:argumentDescriptions count="1">
            <x14:argumentDescription index="0">Positional argument 1</x14:argumentDescription>
          </x14:argumentDescriptions>
        </x14:definedName>
        <x14:definedName name="isKoalaModelCached">
          <x14:argumentDescriptions count="1">
            <x14:argumentDescription index="0">Named Range which contains a formula which constitutes your model.</x14:argumentDescription>
          </x14:argumentDescriptions>
        </x14:definedName>
        <x14:definedName name="KEEPRECORDS">
          <x14:argumentDescriptions count="3">
            <x14:argumentDescription index="0">This is the range of times</x14:argumentDescription>
            <x14:argumentDescription index="1">This is the value you want to average from.</x14:argumentDescription>
            <x14:argumentDescription index="2">The elements will be kept on this index.</x14:argumentDescription>
          </x14:argumentDescriptions>
        </x14:definedName>
        <x14:definedName name="PF">
          <x14:argumentDescriptions count="1">
            <x14:argumentDescription index="0">Name, as a string, of the model which will be assessed</x14:argumentDescription>
          </x14:argumentDescriptions>
        </x14:definedName>
        <x14:definedName name="reload_koal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loadKoal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SAMPLEMINS">
          <x14:argumentDescriptions count="4">
            <x14:argumentDescription index="0">This is the range of times</x14:argumentDescription>
            <x14:argumentDescription index="1">This is the value you want to average from.</x14:argumentDescription>
            <x14:argumentDescription index="2">The number of elements which will be averaged.</x14:argumentDescription>
            <x14:argumentDescription index="3">The operation by which the resample will occur.</x14:argumentDescription>
          </x14:argumentDescriptions>
        </x14:definedName>
        <x14:definedName name="RESAMPLEMINSWITHINDEX">
          <x14:argumentDescriptions count="4">
            <x14:argumentDescription index="0">This is the range of times</x14:argumentDescription>
            <x14:argumentDescription index="1">This is the value you want to average from.</x14:argumentDescription>
            <x14:argumentDescription index="2">The number of elements which will be averaged.</x14:argumentDescription>
            <x14:argumentDescription index="3">The operation by which the resample will occur.</x14:argumentDescription>
          </x14:argumentDescriptions>
        </x14:definedName>
        <x14:definedName name="SOILING_G">
          <x14:argumentDescriptions count="1">
            <x14:argumentDescription index="0">Name, as a string, of the model which will be assessed</x14:argumentDescription>
          </x14:argumentDescriptions>
        </x14:definedName>
        <x14:definedName name="SOILING_SR_Isc">
          <x14:argumentDescriptions count="1">
            <x14:argumentDescription index="0">Name, as a string, of the model which will be assessed</x14:argumentDescription>
          </x14:argumentDescriptions>
        </x14:definedName>
        <x14:definedName name="SOLARNOON">
          <x14:argumentDescriptions count="3">
            <x14:argumentDescription index="0">The latitude of the desired location</x14:argumentDescription>
            <x14:argumentDescription index="1">The longitude of the desired location</x14:argumentDescription>
            <x14:argumentDescription index="2">This is the range of times</x14:argumentDescription>
          </x14:argumentDescriptions>
        </x14:definedName>
        <x14:definedName name="TIMEISBETWEEN">
          <x14:argumentDescriptions count="4">
            <x14:argumentDescription index="0">The reference time.</x14:argumentDescription>
            <x14:argumentDescription index="1">Integer number of hours leading up to the key time.</x14:argumentDescription>
            <x14:argumentDescription index="2">Integer number of hours beyond the key time.</x14:argumentDescription>
            <x14:argumentDescription index="3">The times which will be determined within the period</x14:argumentDescription>
          </x14:argumentDescriptions>
        </x14:definedName>
        <x14:definedName name="TIMESERIESWINDOWAVERAGE">
          <x14:argumentDescriptions count="3">
            <x14:argumentDescription index="0">This is the range of times</x14:argumentDescription>
            <x14:argumentDescription index="1">This is the value you want to average from.</x14:argumentDescription>
            <x14:argumentDescription index="2">The number of elements which will be averaged.</x14:argumentDescription>
          </x14:argumentDescriptions>
        </x14:definedName>
        <x14:definedName name="unload_koala_model_from_cache">
          <x14:argumentDescriptions count="1">
            <x14:argumentDescription index="0">Name, as a string, of the model which might be cached.</x14:argumentDescription>
          </x14:argumentDescriptions>
        </x14:definedName>
        <x14:definedName name="unloadKoalaModelFromCache">
          <x14:argumentDescriptions count="1">
            <x14:argumentDescription index="0">Named Range which contains a formula which constitutes your model.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2" i="5"/>
  <c r="E2" i="5" a="1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D2" i="5"/>
  <c r="D3" i="5"/>
  <c r="D4" i="5"/>
  <c r="D5" i="5"/>
  <c r="D6" i="5"/>
  <c r="D7" i="5"/>
  <c r="C320" i="5"/>
  <c r="C102" i="5"/>
  <c r="C37" i="5"/>
  <c r="B6" i="6"/>
  <c r="B5" i="6"/>
</calcChain>
</file>

<file path=xl/sharedStrings.xml><?xml version="1.0" encoding="utf-8"?>
<sst xmlns="http://schemas.openxmlformats.org/spreadsheetml/2006/main" count="1172" uniqueCount="74">
  <si>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</si>
  <si>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</si>
  <si>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</si>
  <si>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</si>
  <si>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</si>
  <si>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</si>
  <si>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</si>
  <si>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</si>
  <si>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</si>
  <si>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</si>
  <si>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</si>
  <si>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</si>
  <si>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</si>
  <si>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</si>
  <si>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N</t>
  </si>
  <si>
    <t>NNW</t>
  </si>
  <si>
    <t>NNE</t>
  </si>
  <si>
    <t>NW</t>
  </si>
  <si>
    <t>WNW</t>
  </si>
  <si>
    <t>W</t>
  </si>
  <si>
    <t>Constants</t>
  </si>
  <si>
    <r>
      <t>T</t>
    </r>
    <r>
      <rPr>
        <vertAlign val="subscript"/>
        <sz val="12"/>
        <color theme="1"/>
        <rFont val="Calibri"/>
        <family val="2"/>
        <scheme val="minor"/>
      </rPr>
      <t>base</t>
    </r>
  </si>
  <si>
    <t>Formulae</t>
  </si>
  <si>
    <t>Growing Degrees Day</t>
  </si>
  <si>
    <t>Tmax</t>
  </si>
  <si>
    <t>Tmin</t>
  </si>
  <si>
    <t>Time</t>
  </si>
  <si>
    <t>Temp Min</t>
  </si>
  <si>
    <t>Temp Max</t>
  </si>
  <si>
    <t>Date</t>
  </si>
  <si>
    <t>Minimum temperature (°C)</t>
  </si>
  <si>
    <t>Maximum temperature (°C)</t>
  </si>
  <si>
    <t>Rainfall (mm)</t>
  </si>
  <si>
    <t>Evaporation (mm)</t>
  </si>
  <si>
    <t>Sunshine (hours)</t>
  </si>
  <si>
    <t xml:space="preserve">Direction of maximum wind gust </t>
  </si>
  <si>
    <t>Speed of maximum wind gust (km/h)</t>
  </si>
  <si>
    <t>Time of maximum wind gust</t>
  </si>
  <si>
    <t>9am Temperature (°C)</t>
  </si>
  <si>
    <t>9am relative humidity (%)</t>
  </si>
  <si>
    <t>9am cloud amount (oktas)</t>
  </si>
  <si>
    <t>9am wind direction</t>
  </si>
  <si>
    <t>9am wind speed (km/h)</t>
  </si>
  <si>
    <t>9am MSL pressure (hPa)</t>
  </si>
  <si>
    <t>3pm Temperature (°C)</t>
  </si>
  <si>
    <t>3pm relative humidity (%)</t>
  </si>
  <si>
    <t>3pm cloud amount (oktas)</t>
  </si>
  <si>
    <t>3pm wind direction</t>
  </si>
  <si>
    <t>3pm wind speed (km/h)</t>
  </si>
  <si>
    <t>3pm MSL pressure (hPa)</t>
  </si>
  <si>
    <t>ESE</t>
  </si>
  <si>
    <t xml:space="preserve"> </t>
  </si>
  <si>
    <t>Calm</t>
  </si>
  <si>
    <t>WSW</t>
  </si>
  <si>
    <t>SSW</t>
  </si>
  <si>
    <t>S</t>
  </si>
  <si>
    <t>SSE</t>
  </si>
  <si>
    <t>SE</t>
  </si>
  <si>
    <t>E</t>
  </si>
  <si>
    <t>SW</t>
  </si>
  <si>
    <t>NE</t>
  </si>
  <si>
    <t>ENE</t>
  </si>
  <si>
    <t>Degree Day Equation 1</t>
  </si>
  <si>
    <t>Degree Day Dynamic Array Equation 1</t>
  </si>
  <si>
    <t>Degree Day Equation 2</t>
  </si>
  <si>
    <t>Degree Day Dynamic Array Equation 2</t>
  </si>
  <si>
    <t>Equation 1</t>
  </si>
  <si>
    <t>Equation 2</t>
  </si>
  <si>
    <t>Excel File Name</t>
  </si>
  <si>
    <t>Ignore Sheets</t>
  </si>
  <si>
    <t>"Raw Data"</t>
  </si>
  <si>
    <t>C:\Users\bradb\Documents\Python\example\example.xlsm</t>
  </si>
  <si>
    <t>Ensure this sheet is named "FlyingKoala.conf"</t>
  </si>
  <si>
    <t>You need to leave the rows alone, currently the values are using a direct look up.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</si>
</sst>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20" fontId="0" fillId="0" borderId="0" xfId="0" applyNumberForma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66"/>
  <sheetViews>
    <sheetView workbookViewId="0">
      <selection sqref="A1:XFD1048576"/>
    </sheetView>
  </sheetViews>
  <sheetFormatPr defaultColWidth="11" defaultRowHeight="15.75" x14ac:dyDescent="0.5"/>
  <cols>
    <col min="1" max="1" width="10.1875" bestFit="1" customWidth="1"/>
    <col min="2" max="2" width="23.125" bestFit="1" customWidth="1"/>
    <col min="3" max="3" width="23.4375" bestFit="1" customWidth="1"/>
    <col min="4" max="4" width="11.5625" bestFit="1" customWidth="1"/>
    <col min="5" max="5" width="15.5" bestFit="1" customWidth="1"/>
    <col min="6" max="6" width="14.5625" bestFit="1" customWidth="1"/>
    <col min="7" max="7" width="28" bestFit="1" customWidth="1"/>
    <col min="8" max="8" width="31.25" bestFit="1" customWidth="1"/>
    <col min="9" max="9" width="24.0625" bestFit="1" customWidth="1"/>
    <col min="10" max="10" width="19" bestFit="1" customWidth="1"/>
    <col min="11" max="11" width="21.75" bestFit="1" customWidth="1"/>
    <col min="12" max="12" width="22.375" bestFit="1" customWidth="1"/>
    <col min="13" max="13" width="16.5" bestFit="1" customWidth="1"/>
    <col min="14" max="14" width="20.25" bestFit="1" customWidth="1"/>
    <col min="15" max="15" width="20.5625" bestFit="1" customWidth="1"/>
    <col min="16" max="16" width="19.125" bestFit="1" customWidth="1"/>
    <col min="17" max="17" width="21.875" bestFit="1" customWidth="1"/>
    <col min="18" max="18" width="22.5" bestFit="1" customWidth="1"/>
    <col min="19" max="19" width="16.625" bestFit="1" customWidth="1"/>
    <col min="20" max="20" width="20.375" bestFit="1" customWidth="1"/>
    <col min="21" max="21" width="20.6875" bestFit="1" customWidth="1"/>
  </cols>
  <sheetData>
    <row r="1" spans="1:21" x14ac:dyDescent="0.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45</v>
      </c>
      <c r="R1" t="s">
        <v>46</v>
      </c>
      <c r="S1" t="s">
        <v>47</v>
      </c>
      <c r="T1" t="s">
        <v>48</v>
      </c>
      <c r="U1" t="s">
        <v>49</v>
      </c>
    </row>
    <row r="2" spans="1:21" x14ac:dyDescent="0.5">
      <c r="A2" s="3">
        <v>43282</v>
      </c>
      <c r="B2">
        <v>-0.4</v>
      </c>
      <c r="C2">
        <v>18.100000000000001</v>
      </c>
      <c r="D2">
        <v>0</v>
      </c>
      <c r="G2" t="s">
        <v>50</v>
      </c>
      <c r="H2">
        <v>37</v>
      </c>
      <c r="I2" s="4">
        <v>0.50416666666666665</v>
      </c>
      <c r="J2">
        <v>8.1</v>
      </c>
      <c r="K2">
        <v>55</v>
      </c>
      <c r="M2" t="s">
        <v>50</v>
      </c>
      <c r="N2">
        <v>9</v>
      </c>
      <c r="O2">
        <v>1028.9000000000001</v>
      </c>
      <c r="P2">
        <v>17.7</v>
      </c>
      <c r="Q2">
        <v>30</v>
      </c>
      <c r="S2" t="s">
        <v>50</v>
      </c>
      <c r="T2">
        <v>17</v>
      </c>
      <c r="U2">
        <v>1025.9000000000001</v>
      </c>
    </row>
    <row r="3" spans="1:21" x14ac:dyDescent="0.5">
      <c r="A3" s="3">
        <v>43283</v>
      </c>
      <c r="B3">
        <v>-2.6</v>
      </c>
      <c r="C3">
        <v>21.2</v>
      </c>
      <c r="D3">
        <v>0</v>
      </c>
      <c r="G3" t="s">
        <v>50</v>
      </c>
      <c r="H3">
        <v>26</v>
      </c>
      <c r="I3" s="4">
        <v>0.50486111111111109</v>
      </c>
      <c r="J3">
        <v>7.6</v>
      </c>
      <c r="K3">
        <v>54</v>
      </c>
      <c r="M3" t="s">
        <v>50</v>
      </c>
      <c r="N3">
        <v>9</v>
      </c>
      <c r="O3">
        <v>1027.5</v>
      </c>
      <c r="P3">
        <v>20.399999999999999</v>
      </c>
      <c r="Q3">
        <v>18</v>
      </c>
      <c r="S3" t="s">
        <v>50</v>
      </c>
      <c r="T3">
        <v>13</v>
      </c>
      <c r="U3">
        <v>1022.7</v>
      </c>
    </row>
    <row r="4" spans="1:21" x14ac:dyDescent="0.5">
      <c r="A4" s="3">
        <v>43284</v>
      </c>
      <c r="B4">
        <v>-1.4</v>
      </c>
      <c r="C4">
        <v>25.1</v>
      </c>
      <c r="D4">
        <v>0</v>
      </c>
      <c r="E4">
        <v>3.2</v>
      </c>
      <c r="G4" t="s">
        <v>50</v>
      </c>
      <c r="H4">
        <v>22</v>
      </c>
      <c r="I4" s="4">
        <v>0.71180555555555547</v>
      </c>
      <c r="J4">
        <v>8.1</v>
      </c>
      <c r="K4">
        <v>40</v>
      </c>
      <c r="M4" t="s">
        <v>51</v>
      </c>
      <c r="N4" t="s">
        <v>52</v>
      </c>
      <c r="O4">
        <v>1025.2</v>
      </c>
      <c r="P4">
        <v>24.8</v>
      </c>
      <c r="Q4">
        <v>13</v>
      </c>
      <c r="S4" t="s">
        <v>50</v>
      </c>
      <c r="T4">
        <v>9</v>
      </c>
      <c r="U4">
        <v>1020.5</v>
      </c>
    </row>
    <row r="5" spans="1:21" x14ac:dyDescent="0.5">
      <c r="A5" s="3">
        <v>43285</v>
      </c>
      <c r="B5">
        <v>1.3</v>
      </c>
      <c r="C5">
        <v>27.2</v>
      </c>
      <c r="D5">
        <v>0</v>
      </c>
      <c r="E5">
        <v>4</v>
      </c>
      <c r="G5" t="s">
        <v>53</v>
      </c>
      <c r="H5">
        <v>17</v>
      </c>
      <c r="I5" s="4">
        <v>0.53472222222222221</v>
      </c>
      <c r="J5">
        <v>10.6</v>
      </c>
      <c r="K5">
        <v>31</v>
      </c>
      <c r="M5" t="s">
        <v>54</v>
      </c>
      <c r="N5">
        <v>7</v>
      </c>
      <c r="O5">
        <v>1022.7</v>
      </c>
      <c r="P5">
        <v>26.2</v>
      </c>
      <c r="Q5">
        <v>10</v>
      </c>
      <c r="S5" t="s">
        <v>19</v>
      </c>
      <c r="T5">
        <v>11</v>
      </c>
      <c r="U5">
        <v>1018.5</v>
      </c>
    </row>
    <row r="6" spans="1:21" x14ac:dyDescent="0.5">
      <c r="A6" s="3">
        <v>43286</v>
      </c>
      <c r="B6">
        <v>4.7</v>
      </c>
      <c r="C6">
        <v>28.1</v>
      </c>
      <c r="D6">
        <v>0</v>
      </c>
      <c r="E6">
        <v>6.6</v>
      </c>
      <c r="G6" t="s">
        <v>14</v>
      </c>
      <c r="H6">
        <v>31</v>
      </c>
      <c r="I6" s="4">
        <v>0.44930555555555557</v>
      </c>
      <c r="J6">
        <v>13</v>
      </c>
      <c r="K6">
        <v>26</v>
      </c>
      <c r="M6" t="s">
        <v>19</v>
      </c>
      <c r="N6">
        <v>6</v>
      </c>
      <c r="O6">
        <v>1020</v>
      </c>
      <c r="P6">
        <v>27.6</v>
      </c>
      <c r="Q6">
        <v>15</v>
      </c>
      <c r="S6" t="s">
        <v>17</v>
      </c>
      <c r="T6">
        <v>15</v>
      </c>
      <c r="U6">
        <v>1015.2</v>
      </c>
    </row>
    <row r="7" spans="1:21" x14ac:dyDescent="0.5">
      <c r="A7" s="3">
        <v>43287</v>
      </c>
      <c r="B7">
        <v>8.1</v>
      </c>
      <c r="C7">
        <v>19.100000000000001</v>
      </c>
      <c r="D7">
        <v>0</v>
      </c>
      <c r="G7" t="s">
        <v>50</v>
      </c>
      <c r="H7">
        <v>48</v>
      </c>
      <c r="I7" s="4">
        <v>0.63194444444444442</v>
      </c>
      <c r="J7">
        <v>14.1</v>
      </c>
      <c r="K7">
        <v>52</v>
      </c>
      <c r="M7" t="s">
        <v>55</v>
      </c>
      <c r="N7">
        <v>15</v>
      </c>
      <c r="O7">
        <v>1023.3</v>
      </c>
      <c r="P7">
        <v>18.100000000000001</v>
      </c>
      <c r="Q7">
        <v>29</v>
      </c>
      <c r="S7" t="s">
        <v>56</v>
      </c>
      <c r="T7">
        <v>22</v>
      </c>
      <c r="U7">
        <v>1020.9</v>
      </c>
    </row>
    <row r="8" spans="1:21" x14ac:dyDescent="0.5">
      <c r="A8" s="3">
        <v>43288</v>
      </c>
      <c r="B8">
        <v>0.3</v>
      </c>
      <c r="C8">
        <v>17.399999999999999</v>
      </c>
      <c r="D8">
        <v>0</v>
      </c>
      <c r="G8" t="s">
        <v>56</v>
      </c>
      <c r="H8">
        <v>41</v>
      </c>
      <c r="I8" s="4">
        <v>0.52013888888888882</v>
      </c>
      <c r="J8">
        <v>7.6</v>
      </c>
      <c r="K8">
        <v>45</v>
      </c>
      <c r="M8" t="s">
        <v>51</v>
      </c>
      <c r="N8" t="s">
        <v>52</v>
      </c>
      <c r="O8">
        <v>1027.3</v>
      </c>
      <c r="P8">
        <v>16.7</v>
      </c>
      <c r="Q8">
        <v>26</v>
      </c>
      <c r="S8" t="s">
        <v>57</v>
      </c>
      <c r="T8">
        <v>20</v>
      </c>
      <c r="U8">
        <v>1024.5</v>
      </c>
    </row>
    <row r="9" spans="1:21" x14ac:dyDescent="0.5">
      <c r="A9" s="3">
        <v>43289</v>
      </c>
      <c r="B9">
        <v>2</v>
      </c>
      <c r="C9">
        <v>17.7</v>
      </c>
      <c r="D9">
        <v>0</v>
      </c>
      <c r="G9" t="s">
        <v>50</v>
      </c>
      <c r="H9">
        <v>46</v>
      </c>
      <c r="I9" s="4">
        <v>0.40069444444444446</v>
      </c>
      <c r="J9">
        <v>9.5</v>
      </c>
      <c r="K9">
        <v>57</v>
      </c>
      <c r="M9" t="s">
        <v>50</v>
      </c>
      <c r="N9">
        <v>17</v>
      </c>
      <c r="O9">
        <v>1028.5999999999999</v>
      </c>
      <c r="P9">
        <v>17.2</v>
      </c>
      <c r="Q9">
        <v>28</v>
      </c>
      <c r="S9" t="s">
        <v>50</v>
      </c>
      <c r="T9">
        <v>24</v>
      </c>
      <c r="U9">
        <v>1024.7</v>
      </c>
    </row>
    <row r="10" spans="1:21" x14ac:dyDescent="0.5">
      <c r="A10" s="3">
        <v>43290</v>
      </c>
      <c r="B10">
        <v>-1.1000000000000001</v>
      </c>
      <c r="C10">
        <v>17.8</v>
      </c>
      <c r="D10">
        <v>0</v>
      </c>
      <c r="G10" t="s">
        <v>58</v>
      </c>
      <c r="H10">
        <v>46</v>
      </c>
      <c r="I10" s="4">
        <v>0.41597222222222219</v>
      </c>
      <c r="J10">
        <v>8.3000000000000007</v>
      </c>
      <c r="K10">
        <v>56</v>
      </c>
      <c r="M10" t="s">
        <v>58</v>
      </c>
      <c r="N10">
        <v>22</v>
      </c>
      <c r="O10">
        <v>1028.0999999999999</v>
      </c>
      <c r="P10">
        <v>17.100000000000001</v>
      </c>
      <c r="Q10">
        <v>25</v>
      </c>
      <c r="S10" t="s">
        <v>50</v>
      </c>
      <c r="T10">
        <v>20</v>
      </c>
      <c r="U10">
        <v>1024.9000000000001</v>
      </c>
    </row>
    <row r="11" spans="1:21" x14ac:dyDescent="0.5">
      <c r="A11" s="3">
        <v>43291</v>
      </c>
      <c r="B11">
        <v>-2</v>
      </c>
      <c r="C11">
        <v>18.3</v>
      </c>
      <c r="D11">
        <v>0</v>
      </c>
      <c r="E11">
        <v>2.6</v>
      </c>
      <c r="G11" t="s">
        <v>50</v>
      </c>
      <c r="H11">
        <v>46</v>
      </c>
      <c r="I11" s="4">
        <v>0.45208333333333334</v>
      </c>
      <c r="J11">
        <v>7.7</v>
      </c>
      <c r="K11">
        <v>59</v>
      </c>
      <c r="M11" t="s">
        <v>50</v>
      </c>
      <c r="N11">
        <v>9</v>
      </c>
      <c r="O11">
        <v>1026</v>
      </c>
      <c r="P11">
        <v>17.399999999999999</v>
      </c>
      <c r="Q11">
        <v>27</v>
      </c>
      <c r="S11" t="s">
        <v>58</v>
      </c>
      <c r="T11">
        <v>19</v>
      </c>
      <c r="U11">
        <v>1022.1</v>
      </c>
    </row>
    <row r="12" spans="1:21" x14ac:dyDescent="0.5">
      <c r="A12" s="3">
        <v>43292</v>
      </c>
      <c r="B12">
        <v>-1.9</v>
      </c>
      <c r="C12">
        <v>18.3</v>
      </c>
      <c r="D12">
        <v>0</v>
      </c>
      <c r="E12">
        <v>5.6</v>
      </c>
      <c r="G12" t="s">
        <v>50</v>
      </c>
      <c r="H12">
        <v>31</v>
      </c>
      <c r="I12" s="4">
        <v>0.50555555555555554</v>
      </c>
      <c r="J12">
        <v>6.8</v>
      </c>
      <c r="K12">
        <v>55</v>
      </c>
      <c r="M12" t="s">
        <v>55</v>
      </c>
      <c r="N12">
        <v>4</v>
      </c>
      <c r="O12">
        <v>1025.4000000000001</v>
      </c>
      <c r="P12">
        <v>17.8</v>
      </c>
      <c r="Q12">
        <v>23</v>
      </c>
      <c r="S12" t="s">
        <v>58</v>
      </c>
      <c r="T12">
        <v>15</v>
      </c>
      <c r="U12">
        <v>1021.3</v>
      </c>
    </row>
    <row r="13" spans="1:21" x14ac:dyDescent="0.5">
      <c r="A13" s="3">
        <v>43293</v>
      </c>
      <c r="B13">
        <v>-3.4</v>
      </c>
      <c r="C13">
        <v>18</v>
      </c>
      <c r="D13">
        <v>0</v>
      </c>
      <c r="E13">
        <v>4</v>
      </c>
      <c r="G13" t="s">
        <v>58</v>
      </c>
      <c r="H13">
        <v>31</v>
      </c>
      <c r="I13" s="4">
        <v>0.44722222222222219</v>
      </c>
      <c r="J13">
        <v>4.5</v>
      </c>
      <c r="K13">
        <v>44</v>
      </c>
      <c r="M13" t="s">
        <v>51</v>
      </c>
      <c r="N13" t="s">
        <v>52</v>
      </c>
      <c r="O13">
        <v>1024.0999999999999</v>
      </c>
      <c r="P13">
        <v>17.3</v>
      </c>
      <c r="Q13">
        <v>17</v>
      </c>
      <c r="S13" t="s">
        <v>50</v>
      </c>
      <c r="T13">
        <v>15</v>
      </c>
      <c r="U13">
        <v>1020.1</v>
      </c>
    </row>
    <row r="14" spans="1:21" x14ac:dyDescent="0.5">
      <c r="A14" s="3">
        <v>43294</v>
      </c>
      <c r="B14">
        <v>-3.8</v>
      </c>
      <c r="C14">
        <v>20</v>
      </c>
      <c r="D14">
        <v>0</v>
      </c>
      <c r="E14">
        <v>3.6</v>
      </c>
      <c r="G14" t="s">
        <v>58</v>
      </c>
      <c r="H14">
        <v>30</v>
      </c>
      <c r="I14" s="4">
        <v>0.64236111111111105</v>
      </c>
      <c r="J14">
        <v>5.2</v>
      </c>
      <c r="K14">
        <v>41</v>
      </c>
      <c r="M14" t="s">
        <v>18</v>
      </c>
      <c r="N14">
        <v>7</v>
      </c>
      <c r="O14">
        <v>1022.7</v>
      </c>
      <c r="P14">
        <v>18.600000000000001</v>
      </c>
      <c r="Q14">
        <v>13</v>
      </c>
      <c r="S14" t="s">
        <v>58</v>
      </c>
      <c r="T14">
        <v>13</v>
      </c>
      <c r="U14">
        <v>1018.2</v>
      </c>
    </row>
    <row r="15" spans="1:21" x14ac:dyDescent="0.5">
      <c r="A15" s="3">
        <v>43295</v>
      </c>
      <c r="B15">
        <v>-3.5</v>
      </c>
      <c r="C15">
        <v>21</v>
      </c>
      <c r="D15">
        <v>0</v>
      </c>
      <c r="G15" t="s">
        <v>18</v>
      </c>
      <c r="H15">
        <v>22</v>
      </c>
      <c r="I15" s="4">
        <v>0.58819444444444446</v>
      </c>
      <c r="J15">
        <v>5.6</v>
      </c>
      <c r="K15">
        <v>28</v>
      </c>
      <c r="M15" t="s">
        <v>51</v>
      </c>
      <c r="N15" t="s">
        <v>52</v>
      </c>
      <c r="O15">
        <v>1021</v>
      </c>
      <c r="P15">
        <v>20.6</v>
      </c>
      <c r="Q15">
        <v>9</v>
      </c>
      <c r="S15" t="s">
        <v>14</v>
      </c>
      <c r="T15">
        <v>9</v>
      </c>
      <c r="U15">
        <v>1016.3</v>
      </c>
    </row>
    <row r="16" spans="1:21" x14ac:dyDescent="0.5">
      <c r="A16" s="3">
        <v>43296</v>
      </c>
      <c r="B16">
        <v>-2.2000000000000002</v>
      </c>
      <c r="C16">
        <v>22.6</v>
      </c>
      <c r="D16">
        <v>0</v>
      </c>
      <c r="G16" t="s">
        <v>17</v>
      </c>
      <c r="H16">
        <v>50</v>
      </c>
      <c r="I16" s="4">
        <v>0.55555555555555558</v>
      </c>
      <c r="J16">
        <v>10.7</v>
      </c>
      <c r="K16">
        <v>16</v>
      </c>
      <c r="M16" t="s">
        <v>19</v>
      </c>
      <c r="N16">
        <v>6</v>
      </c>
      <c r="O16">
        <v>1017.3</v>
      </c>
      <c r="P16">
        <v>22</v>
      </c>
      <c r="Q16">
        <v>9</v>
      </c>
      <c r="S16" t="s">
        <v>19</v>
      </c>
      <c r="T16">
        <v>24</v>
      </c>
      <c r="U16">
        <v>1013.1</v>
      </c>
    </row>
    <row r="17" spans="1:21" x14ac:dyDescent="0.5">
      <c r="A17" s="3">
        <v>43297</v>
      </c>
      <c r="B17">
        <v>1.3</v>
      </c>
      <c r="C17">
        <v>24.2</v>
      </c>
      <c r="D17">
        <v>0</v>
      </c>
      <c r="G17" t="s">
        <v>54</v>
      </c>
      <c r="H17">
        <v>19</v>
      </c>
      <c r="I17" s="4">
        <v>0.25416666666666665</v>
      </c>
      <c r="J17">
        <v>13.2</v>
      </c>
      <c r="K17">
        <v>20</v>
      </c>
      <c r="M17" t="s">
        <v>19</v>
      </c>
      <c r="N17">
        <v>13</v>
      </c>
      <c r="O17">
        <v>1018.8</v>
      </c>
      <c r="P17">
        <v>22.5</v>
      </c>
      <c r="Q17">
        <v>14</v>
      </c>
      <c r="S17" t="s">
        <v>59</v>
      </c>
      <c r="T17">
        <v>9</v>
      </c>
      <c r="U17">
        <v>1015.5</v>
      </c>
    </row>
    <row r="18" spans="1:21" x14ac:dyDescent="0.5">
      <c r="A18" s="3">
        <v>43298</v>
      </c>
      <c r="B18">
        <v>1.7</v>
      </c>
      <c r="C18">
        <v>25.8</v>
      </c>
      <c r="D18">
        <v>0</v>
      </c>
      <c r="E18">
        <v>3.4</v>
      </c>
      <c r="G18" t="s">
        <v>53</v>
      </c>
      <c r="H18">
        <v>28</v>
      </c>
      <c r="I18" s="4">
        <v>0.53472222222222221</v>
      </c>
      <c r="J18">
        <v>12.7</v>
      </c>
      <c r="K18">
        <v>23</v>
      </c>
      <c r="M18" t="s">
        <v>51</v>
      </c>
      <c r="N18" t="s">
        <v>52</v>
      </c>
      <c r="O18">
        <v>1019.7</v>
      </c>
      <c r="P18">
        <v>24.6</v>
      </c>
      <c r="Q18">
        <v>10</v>
      </c>
      <c r="S18" t="s">
        <v>54</v>
      </c>
      <c r="T18">
        <v>13</v>
      </c>
      <c r="U18">
        <v>1016.6</v>
      </c>
    </row>
    <row r="19" spans="1:21" x14ac:dyDescent="0.5">
      <c r="A19" s="3">
        <v>43299</v>
      </c>
      <c r="B19">
        <v>1.7</v>
      </c>
      <c r="C19">
        <v>26.2</v>
      </c>
      <c r="D19">
        <v>0</v>
      </c>
      <c r="G19" t="s">
        <v>15</v>
      </c>
      <c r="H19">
        <v>30</v>
      </c>
      <c r="I19" s="4">
        <v>0.43263888888888885</v>
      </c>
      <c r="J19">
        <v>17.3</v>
      </c>
      <c r="K19">
        <v>15</v>
      </c>
      <c r="M19" t="s">
        <v>51</v>
      </c>
      <c r="N19" t="s">
        <v>52</v>
      </c>
      <c r="O19">
        <v>1020.1</v>
      </c>
      <c r="P19">
        <v>25.4</v>
      </c>
      <c r="Q19">
        <v>8</v>
      </c>
      <c r="S19" t="s">
        <v>17</v>
      </c>
      <c r="T19">
        <v>7</v>
      </c>
      <c r="U19">
        <v>1016.6</v>
      </c>
    </row>
    <row r="20" spans="1:21" x14ac:dyDescent="0.5">
      <c r="A20" s="3">
        <v>43300</v>
      </c>
      <c r="B20">
        <v>3</v>
      </c>
      <c r="C20">
        <v>26.5</v>
      </c>
      <c r="D20">
        <v>0</v>
      </c>
      <c r="G20" t="s">
        <v>53</v>
      </c>
      <c r="H20">
        <v>39</v>
      </c>
      <c r="I20" s="4">
        <v>0.5756944444444444</v>
      </c>
      <c r="J20">
        <v>12.2</v>
      </c>
      <c r="K20">
        <v>15</v>
      </c>
      <c r="M20" t="s">
        <v>19</v>
      </c>
      <c r="N20">
        <v>9</v>
      </c>
      <c r="O20">
        <v>1018.9</v>
      </c>
      <c r="P20">
        <v>26.1</v>
      </c>
      <c r="Q20">
        <v>14</v>
      </c>
      <c r="S20" t="s">
        <v>54</v>
      </c>
      <c r="T20">
        <v>24</v>
      </c>
      <c r="U20">
        <v>1016.7</v>
      </c>
    </row>
    <row r="21" spans="1:21" x14ac:dyDescent="0.5">
      <c r="A21" s="3">
        <v>43301</v>
      </c>
      <c r="B21">
        <v>4.7</v>
      </c>
      <c r="C21">
        <v>18.899999999999999</v>
      </c>
      <c r="D21">
        <v>0</v>
      </c>
      <c r="G21" t="s">
        <v>50</v>
      </c>
      <c r="H21">
        <v>37</v>
      </c>
      <c r="I21" s="4">
        <v>0.3666666666666667</v>
      </c>
      <c r="J21">
        <v>10.7</v>
      </c>
      <c r="K21">
        <v>67</v>
      </c>
      <c r="M21" t="s">
        <v>50</v>
      </c>
      <c r="N21">
        <v>30</v>
      </c>
      <c r="O21">
        <v>1026</v>
      </c>
      <c r="P21">
        <v>17.7</v>
      </c>
      <c r="Q21">
        <v>35</v>
      </c>
      <c r="S21" t="s">
        <v>58</v>
      </c>
      <c r="T21">
        <v>15</v>
      </c>
      <c r="U21">
        <v>1021.9</v>
      </c>
    </row>
    <row r="22" spans="1:21" x14ac:dyDescent="0.5">
      <c r="A22" s="3">
        <v>43302</v>
      </c>
      <c r="B22">
        <v>-0.1</v>
      </c>
      <c r="C22">
        <v>25.5</v>
      </c>
      <c r="D22">
        <v>0</v>
      </c>
      <c r="G22" t="s">
        <v>19</v>
      </c>
      <c r="H22">
        <v>31</v>
      </c>
      <c r="I22" s="4">
        <v>0.63888888888888895</v>
      </c>
      <c r="J22">
        <v>11.3</v>
      </c>
      <c r="K22">
        <v>46</v>
      </c>
      <c r="M22" t="s">
        <v>60</v>
      </c>
      <c r="N22">
        <v>6</v>
      </c>
      <c r="O22">
        <v>1023.7</v>
      </c>
      <c r="P22">
        <v>24.6</v>
      </c>
      <c r="Q22">
        <v>19</v>
      </c>
      <c r="S22" t="s">
        <v>59</v>
      </c>
      <c r="T22">
        <v>11</v>
      </c>
      <c r="U22">
        <v>1018.2</v>
      </c>
    </row>
    <row r="23" spans="1:21" x14ac:dyDescent="0.5">
      <c r="A23" s="3">
        <v>43303</v>
      </c>
      <c r="B23">
        <v>5.7</v>
      </c>
      <c r="C23">
        <v>27.1</v>
      </c>
      <c r="D23">
        <v>0</v>
      </c>
      <c r="G23" t="s">
        <v>15</v>
      </c>
      <c r="H23">
        <v>35</v>
      </c>
      <c r="I23" s="4">
        <v>0.38750000000000001</v>
      </c>
      <c r="J23">
        <v>18</v>
      </c>
      <c r="K23">
        <v>23</v>
      </c>
      <c r="M23" t="s">
        <v>15</v>
      </c>
      <c r="N23">
        <v>11</v>
      </c>
      <c r="O23">
        <v>1021.5</v>
      </c>
      <c r="P23">
        <v>25.7</v>
      </c>
      <c r="Q23">
        <v>15</v>
      </c>
      <c r="S23" t="s">
        <v>15</v>
      </c>
      <c r="T23">
        <v>9</v>
      </c>
      <c r="U23">
        <v>1016.2</v>
      </c>
    </row>
    <row r="24" spans="1:21" x14ac:dyDescent="0.5">
      <c r="A24" s="3">
        <v>43304</v>
      </c>
      <c r="B24">
        <v>13</v>
      </c>
      <c r="C24">
        <v>29.1</v>
      </c>
      <c r="D24">
        <v>0</v>
      </c>
      <c r="G24" t="s">
        <v>17</v>
      </c>
      <c r="H24">
        <v>48</v>
      </c>
      <c r="I24" s="4">
        <v>0.57013888888888886</v>
      </c>
      <c r="J24">
        <v>20.8</v>
      </c>
      <c r="K24">
        <v>19</v>
      </c>
      <c r="M24" t="s">
        <v>17</v>
      </c>
      <c r="N24">
        <v>26</v>
      </c>
      <c r="O24">
        <v>1017.8</v>
      </c>
      <c r="P24">
        <v>28.7</v>
      </c>
      <c r="Q24">
        <v>12</v>
      </c>
      <c r="S24" t="s">
        <v>17</v>
      </c>
      <c r="T24">
        <v>15</v>
      </c>
      <c r="U24">
        <v>1014.1</v>
      </c>
    </row>
    <row r="25" spans="1:21" x14ac:dyDescent="0.5">
      <c r="A25" s="3">
        <v>43305</v>
      </c>
      <c r="B25">
        <v>10.1</v>
      </c>
      <c r="C25">
        <v>26.8</v>
      </c>
      <c r="D25">
        <v>0</v>
      </c>
      <c r="E25">
        <v>7.8</v>
      </c>
      <c r="G25" t="s">
        <v>61</v>
      </c>
      <c r="H25">
        <v>28</v>
      </c>
      <c r="I25" s="4">
        <v>0.46111111111111108</v>
      </c>
      <c r="J25">
        <v>16.2</v>
      </c>
      <c r="K25">
        <v>31</v>
      </c>
      <c r="L25">
        <v>8</v>
      </c>
      <c r="M25" t="s">
        <v>51</v>
      </c>
      <c r="N25" t="s">
        <v>52</v>
      </c>
      <c r="O25">
        <v>1018.9</v>
      </c>
      <c r="P25">
        <v>26.3</v>
      </c>
      <c r="Q25">
        <v>20</v>
      </c>
      <c r="R25">
        <v>8</v>
      </c>
      <c r="S25" t="s">
        <v>50</v>
      </c>
      <c r="T25">
        <v>9</v>
      </c>
      <c r="U25">
        <v>1015.1</v>
      </c>
    </row>
    <row r="26" spans="1:21" x14ac:dyDescent="0.5">
      <c r="A26" s="3">
        <v>43306</v>
      </c>
      <c r="B26">
        <v>8.1</v>
      </c>
      <c r="C26">
        <v>27.3</v>
      </c>
      <c r="D26">
        <v>0</v>
      </c>
      <c r="E26">
        <v>4.5999999999999996</v>
      </c>
      <c r="G26" t="s">
        <v>54</v>
      </c>
      <c r="H26">
        <v>28</v>
      </c>
      <c r="I26" s="4">
        <v>0.72222222222222221</v>
      </c>
      <c r="J26">
        <v>15.8</v>
      </c>
      <c r="K26">
        <v>41</v>
      </c>
      <c r="L26">
        <v>1</v>
      </c>
      <c r="M26" t="s">
        <v>19</v>
      </c>
      <c r="N26">
        <v>6</v>
      </c>
      <c r="O26">
        <v>1019.7</v>
      </c>
      <c r="P26">
        <v>25.8</v>
      </c>
      <c r="Q26">
        <v>19</v>
      </c>
      <c r="S26" t="s">
        <v>57</v>
      </c>
      <c r="T26">
        <v>6</v>
      </c>
      <c r="U26">
        <v>1015.6</v>
      </c>
    </row>
    <row r="27" spans="1:21" x14ac:dyDescent="0.5">
      <c r="A27" s="3">
        <v>43307</v>
      </c>
      <c r="B27">
        <v>6.6</v>
      </c>
      <c r="C27">
        <v>30.4</v>
      </c>
      <c r="D27">
        <v>0</v>
      </c>
      <c r="E27">
        <v>5.6</v>
      </c>
      <c r="G27" t="s">
        <v>18</v>
      </c>
      <c r="H27">
        <v>54</v>
      </c>
      <c r="I27" s="4">
        <v>0.56180555555555556</v>
      </c>
      <c r="J27">
        <v>20.3</v>
      </c>
      <c r="K27">
        <v>21</v>
      </c>
      <c r="M27" t="s">
        <v>16</v>
      </c>
      <c r="N27">
        <v>9</v>
      </c>
      <c r="O27">
        <v>1016.5</v>
      </c>
      <c r="P27">
        <v>29.4</v>
      </c>
      <c r="Q27">
        <v>10</v>
      </c>
      <c r="S27" t="s">
        <v>17</v>
      </c>
      <c r="T27">
        <v>30</v>
      </c>
      <c r="U27">
        <v>1010.3</v>
      </c>
    </row>
    <row r="28" spans="1:21" x14ac:dyDescent="0.5">
      <c r="A28" s="3">
        <v>43308</v>
      </c>
      <c r="B28">
        <v>10.5</v>
      </c>
      <c r="C28">
        <v>23.1</v>
      </c>
      <c r="D28">
        <v>0</v>
      </c>
      <c r="E28">
        <v>9.4</v>
      </c>
      <c r="G28" t="s">
        <v>59</v>
      </c>
      <c r="H28">
        <v>30</v>
      </c>
      <c r="I28" s="4">
        <v>6.2499999999999995E-3</v>
      </c>
      <c r="J28">
        <v>14.7</v>
      </c>
      <c r="K28">
        <v>56</v>
      </c>
      <c r="M28" t="s">
        <v>59</v>
      </c>
      <c r="N28">
        <v>13</v>
      </c>
      <c r="O28">
        <v>1015.2</v>
      </c>
      <c r="P28">
        <v>22.5</v>
      </c>
      <c r="Q28">
        <v>29</v>
      </c>
      <c r="S28" t="s">
        <v>53</v>
      </c>
      <c r="T28">
        <v>11</v>
      </c>
      <c r="U28">
        <v>1011.8</v>
      </c>
    </row>
    <row r="29" spans="1:21" x14ac:dyDescent="0.5">
      <c r="A29" s="3">
        <v>43309</v>
      </c>
      <c r="B29">
        <v>5.0999999999999996</v>
      </c>
      <c r="C29">
        <v>22.2</v>
      </c>
      <c r="D29">
        <v>0</v>
      </c>
      <c r="G29" t="s">
        <v>55</v>
      </c>
      <c r="H29">
        <v>33</v>
      </c>
      <c r="I29" s="4">
        <v>0.63958333333333328</v>
      </c>
      <c r="J29">
        <v>12.8</v>
      </c>
      <c r="K29">
        <v>62</v>
      </c>
      <c r="M29" t="s">
        <v>19</v>
      </c>
      <c r="N29">
        <v>7</v>
      </c>
      <c r="O29">
        <v>1016.8</v>
      </c>
      <c r="P29">
        <v>21.1</v>
      </c>
      <c r="Q29">
        <v>32</v>
      </c>
      <c r="R29">
        <v>1</v>
      </c>
      <c r="S29" t="s">
        <v>59</v>
      </c>
      <c r="T29">
        <v>13</v>
      </c>
      <c r="U29">
        <v>1013.6</v>
      </c>
    </row>
    <row r="30" spans="1:21" x14ac:dyDescent="0.5">
      <c r="A30" s="3">
        <v>43310</v>
      </c>
      <c r="B30">
        <v>4.2</v>
      </c>
      <c r="C30">
        <v>21.2</v>
      </c>
      <c r="D30">
        <v>0</v>
      </c>
      <c r="G30" t="s">
        <v>50</v>
      </c>
      <c r="H30">
        <v>39</v>
      </c>
      <c r="I30" s="4">
        <v>0.46249999999999997</v>
      </c>
      <c r="J30">
        <v>12.7</v>
      </c>
      <c r="K30">
        <v>45</v>
      </c>
      <c r="M30" t="s">
        <v>18</v>
      </c>
      <c r="N30">
        <v>2</v>
      </c>
      <c r="O30">
        <v>1022.6</v>
      </c>
      <c r="P30">
        <v>20.6</v>
      </c>
      <c r="Q30">
        <v>25</v>
      </c>
      <c r="S30" t="s">
        <v>57</v>
      </c>
      <c r="T30">
        <v>17</v>
      </c>
      <c r="U30">
        <v>1020.1</v>
      </c>
    </row>
    <row r="31" spans="1:21" x14ac:dyDescent="0.5">
      <c r="A31" s="3">
        <v>43311</v>
      </c>
      <c r="B31">
        <v>1.7</v>
      </c>
      <c r="C31">
        <v>24.5</v>
      </c>
      <c r="D31">
        <v>0</v>
      </c>
      <c r="G31" t="s">
        <v>61</v>
      </c>
      <c r="H31">
        <v>22</v>
      </c>
      <c r="I31" s="4">
        <v>0.40625</v>
      </c>
      <c r="J31">
        <v>13</v>
      </c>
      <c r="K31">
        <v>51</v>
      </c>
      <c r="M31" t="s">
        <v>51</v>
      </c>
      <c r="N31" t="s">
        <v>52</v>
      </c>
      <c r="O31">
        <v>1023.3</v>
      </c>
      <c r="P31">
        <v>23.9</v>
      </c>
      <c r="Q31">
        <v>16</v>
      </c>
      <c r="S31" t="s">
        <v>60</v>
      </c>
      <c r="T31">
        <v>11</v>
      </c>
      <c r="U31">
        <v>1018.5</v>
      </c>
    </row>
    <row r="32" spans="1:21" x14ac:dyDescent="0.5">
      <c r="A32" s="3">
        <v>43312</v>
      </c>
      <c r="B32">
        <v>4.0999999999999996</v>
      </c>
      <c r="C32">
        <v>27.6</v>
      </c>
      <c r="D32">
        <v>0</v>
      </c>
      <c r="G32" t="s">
        <v>14</v>
      </c>
      <c r="H32">
        <v>28</v>
      </c>
      <c r="I32" s="4">
        <v>0.39513888888888887</v>
      </c>
      <c r="J32">
        <v>17.5</v>
      </c>
      <c r="K32">
        <v>26</v>
      </c>
      <c r="M32" t="s">
        <v>15</v>
      </c>
      <c r="N32">
        <v>19</v>
      </c>
      <c r="O32">
        <v>1020.9</v>
      </c>
      <c r="P32">
        <v>26.4</v>
      </c>
      <c r="Q32">
        <v>14</v>
      </c>
      <c r="S32" t="s">
        <v>53</v>
      </c>
      <c r="T32">
        <v>9</v>
      </c>
      <c r="U32">
        <v>1016.1</v>
      </c>
    </row>
    <row r="33" spans="1:21" x14ac:dyDescent="0.5">
      <c r="A33" s="3">
        <v>43313</v>
      </c>
      <c r="B33">
        <v>9.4</v>
      </c>
      <c r="C33">
        <v>27.4</v>
      </c>
      <c r="D33">
        <v>0</v>
      </c>
      <c r="G33" t="s">
        <v>58</v>
      </c>
      <c r="H33">
        <v>37</v>
      </c>
      <c r="I33" s="4">
        <v>0.4826388888888889</v>
      </c>
      <c r="J33">
        <v>15.6</v>
      </c>
      <c r="K33">
        <v>26</v>
      </c>
      <c r="L33">
        <v>7</v>
      </c>
      <c r="M33" t="s">
        <v>53</v>
      </c>
      <c r="N33">
        <v>9</v>
      </c>
      <c r="O33">
        <v>1021.2</v>
      </c>
      <c r="P33">
        <v>27.1</v>
      </c>
      <c r="Q33">
        <v>13</v>
      </c>
      <c r="S33" t="s">
        <v>61</v>
      </c>
      <c r="T33">
        <v>9</v>
      </c>
      <c r="U33">
        <v>1015.7</v>
      </c>
    </row>
    <row r="34" spans="1:21" x14ac:dyDescent="0.5">
      <c r="A34" s="3">
        <v>43314</v>
      </c>
      <c r="B34">
        <v>14.9</v>
      </c>
      <c r="C34">
        <v>29.2</v>
      </c>
      <c r="D34">
        <v>0</v>
      </c>
      <c r="E34">
        <v>11.2</v>
      </c>
      <c r="G34" t="s">
        <v>19</v>
      </c>
      <c r="H34">
        <v>72</v>
      </c>
      <c r="I34" s="4">
        <v>0.89236111111111116</v>
      </c>
      <c r="J34">
        <v>22.3</v>
      </c>
      <c r="K34">
        <v>12</v>
      </c>
      <c r="L34">
        <v>4</v>
      </c>
      <c r="M34" t="s">
        <v>60</v>
      </c>
      <c r="N34">
        <v>17</v>
      </c>
      <c r="O34">
        <v>1013.1</v>
      </c>
      <c r="P34">
        <v>28.6</v>
      </c>
      <c r="Q34">
        <v>11</v>
      </c>
      <c r="R34">
        <v>1</v>
      </c>
      <c r="S34" t="s">
        <v>14</v>
      </c>
      <c r="T34">
        <v>43</v>
      </c>
      <c r="U34">
        <v>1007.7</v>
      </c>
    </row>
    <row r="35" spans="1:21" x14ac:dyDescent="0.5">
      <c r="A35" s="3">
        <v>43315</v>
      </c>
      <c r="B35">
        <v>5.7</v>
      </c>
      <c r="C35">
        <v>17.2</v>
      </c>
      <c r="D35">
        <v>0</v>
      </c>
      <c r="E35">
        <v>12</v>
      </c>
      <c r="G35" t="s">
        <v>53</v>
      </c>
      <c r="H35">
        <v>46</v>
      </c>
      <c r="I35" s="4">
        <v>7.7777777777777779E-2</v>
      </c>
      <c r="J35">
        <v>9.6999999999999993</v>
      </c>
      <c r="K35">
        <v>61</v>
      </c>
      <c r="M35" t="s">
        <v>59</v>
      </c>
      <c r="N35">
        <v>19</v>
      </c>
      <c r="O35">
        <v>1020.8</v>
      </c>
      <c r="P35">
        <v>16.8</v>
      </c>
      <c r="Q35">
        <v>25</v>
      </c>
      <c r="S35" t="s">
        <v>54</v>
      </c>
      <c r="T35">
        <v>13</v>
      </c>
      <c r="U35">
        <v>1017.1</v>
      </c>
    </row>
    <row r="36" spans="1:21" x14ac:dyDescent="0.5">
      <c r="A36" s="3">
        <v>43316</v>
      </c>
      <c r="B36">
        <v>0.7</v>
      </c>
      <c r="C36">
        <v>25.2</v>
      </c>
      <c r="D36">
        <v>0</v>
      </c>
      <c r="G36" t="s">
        <v>17</v>
      </c>
      <c r="H36">
        <v>44</v>
      </c>
      <c r="I36" s="4">
        <v>0.64236111111111105</v>
      </c>
      <c r="J36">
        <v>11.6</v>
      </c>
      <c r="K36">
        <v>33</v>
      </c>
      <c r="M36" t="s">
        <v>51</v>
      </c>
      <c r="N36" t="s">
        <v>52</v>
      </c>
      <c r="O36">
        <v>1018.7</v>
      </c>
      <c r="P36">
        <v>24.7</v>
      </c>
      <c r="Q36">
        <v>13</v>
      </c>
      <c r="S36" t="s">
        <v>17</v>
      </c>
      <c r="T36">
        <v>24</v>
      </c>
      <c r="U36">
        <v>1012</v>
      </c>
    </row>
    <row r="37" spans="1:21" x14ac:dyDescent="0.5">
      <c r="A37" s="3">
        <v>43317</v>
      </c>
      <c r="B37">
        <v>7.5</v>
      </c>
      <c r="D37">
        <v>0</v>
      </c>
      <c r="J37">
        <v>17.600000000000001</v>
      </c>
      <c r="K37">
        <v>17</v>
      </c>
      <c r="M37" t="s">
        <v>16</v>
      </c>
      <c r="N37">
        <v>7</v>
      </c>
      <c r="O37">
        <v>1014</v>
      </c>
      <c r="P37">
        <v>25.6</v>
      </c>
      <c r="Q37">
        <v>13</v>
      </c>
      <c r="S37" t="s">
        <v>18</v>
      </c>
      <c r="T37">
        <v>39</v>
      </c>
      <c r="U37">
        <v>1010</v>
      </c>
    </row>
    <row r="38" spans="1:21" x14ac:dyDescent="0.5">
      <c r="A38" s="3">
        <v>43318</v>
      </c>
      <c r="B38">
        <v>2.7</v>
      </c>
      <c r="C38">
        <v>16.899999999999999</v>
      </c>
      <c r="D38">
        <v>0</v>
      </c>
      <c r="G38" t="s">
        <v>54</v>
      </c>
      <c r="H38">
        <v>35</v>
      </c>
      <c r="I38" s="4">
        <v>0.50277777777777777</v>
      </c>
      <c r="J38">
        <v>8.5</v>
      </c>
      <c r="K38">
        <v>40</v>
      </c>
      <c r="M38" t="s">
        <v>53</v>
      </c>
      <c r="N38">
        <v>9</v>
      </c>
      <c r="O38">
        <v>1022.1</v>
      </c>
      <c r="P38">
        <v>16.5</v>
      </c>
      <c r="Q38">
        <v>21</v>
      </c>
      <c r="S38" t="s">
        <v>55</v>
      </c>
      <c r="T38">
        <v>17</v>
      </c>
      <c r="U38">
        <v>1018.3</v>
      </c>
    </row>
    <row r="39" spans="1:21" x14ac:dyDescent="0.5">
      <c r="A39" s="3">
        <v>43319</v>
      </c>
      <c r="B39">
        <v>0.5</v>
      </c>
      <c r="C39">
        <v>19.399999999999999</v>
      </c>
      <c r="D39">
        <v>0</v>
      </c>
      <c r="G39" t="s">
        <v>50</v>
      </c>
      <c r="H39">
        <v>28</v>
      </c>
      <c r="I39" s="4">
        <v>0.42222222222222222</v>
      </c>
      <c r="J39">
        <v>10.8</v>
      </c>
      <c r="K39">
        <v>34</v>
      </c>
      <c r="M39" t="s">
        <v>61</v>
      </c>
      <c r="N39">
        <v>2</v>
      </c>
      <c r="O39">
        <v>1022.7</v>
      </c>
      <c r="P39">
        <v>17.5</v>
      </c>
      <c r="Q39">
        <v>19</v>
      </c>
      <c r="S39" t="s">
        <v>58</v>
      </c>
      <c r="T39">
        <v>9</v>
      </c>
      <c r="U39">
        <v>1019.1</v>
      </c>
    </row>
    <row r="40" spans="1:21" x14ac:dyDescent="0.5">
      <c r="A40" s="3">
        <v>43320</v>
      </c>
      <c r="B40">
        <v>1.3</v>
      </c>
      <c r="C40">
        <v>22</v>
      </c>
      <c r="D40">
        <v>0</v>
      </c>
      <c r="E40">
        <v>3.6</v>
      </c>
      <c r="G40" t="s">
        <v>50</v>
      </c>
      <c r="H40">
        <v>26</v>
      </c>
      <c r="I40" s="4">
        <v>0.54166666666666663</v>
      </c>
      <c r="J40">
        <v>10.7</v>
      </c>
      <c r="K40">
        <v>29</v>
      </c>
      <c r="M40" t="s">
        <v>51</v>
      </c>
      <c r="N40" t="s">
        <v>52</v>
      </c>
      <c r="O40">
        <v>1022.6</v>
      </c>
      <c r="P40">
        <v>21.2</v>
      </c>
      <c r="Q40">
        <v>14</v>
      </c>
      <c r="S40" t="s">
        <v>61</v>
      </c>
      <c r="T40">
        <v>9</v>
      </c>
      <c r="U40">
        <v>1018.9</v>
      </c>
    </row>
    <row r="41" spans="1:21" x14ac:dyDescent="0.5">
      <c r="A41" s="3">
        <v>43321</v>
      </c>
      <c r="B41">
        <v>1.9</v>
      </c>
      <c r="C41">
        <v>26.2</v>
      </c>
      <c r="D41">
        <v>0</v>
      </c>
      <c r="G41" t="s">
        <v>60</v>
      </c>
      <c r="H41">
        <v>31</v>
      </c>
      <c r="I41" s="4">
        <v>0.59166666666666667</v>
      </c>
      <c r="J41">
        <v>13</v>
      </c>
      <c r="K41">
        <v>26</v>
      </c>
      <c r="M41" t="s">
        <v>51</v>
      </c>
      <c r="N41" t="s">
        <v>52</v>
      </c>
      <c r="O41">
        <v>1022.1</v>
      </c>
      <c r="P41">
        <v>26</v>
      </c>
      <c r="Q41">
        <v>10</v>
      </c>
      <c r="S41" t="s">
        <v>15</v>
      </c>
      <c r="T41">
        <v>6</v>
      </c>
      <c r="U41">
        <v>1016.7</v>
      </c>
    </row>
    <row r="42" spans="1:21" x14ac:dyDescent="0.5">
      <c r="A42" s="3">
        <v>43322</v>
      </c>
      <c r="B42">
        <v>10.1</v>
      </c>
      <c r="C42">
        <v>27.7</v>
      </c>
      <c r="D42">
        <v>0</v>
      </c>
      <c r="G42" t="s">
        <v>18</v>
      </c>
      <c r="H42">
        <v>50</v>
      </c>
      <c r="I42" s="4">
        <v>0.63541666666666663</v>
      </c>
      <c r="J42">
        <v>17.5</v>
      </c>
      <c r="K42">
        <v>16</v>
      </c>
      <c r="M42" t="s">
        <v>15</v>
      </c>
      <c r="N42">
        <v>19</v>
      </c>
      <c r="O42">
        <v>1017.7</v>
      </c>
      <c r="P42">
        <v>26.8</v>
      </c>
      <c r="Q42">
        <v>8</v>
      </c>
      <c r="S42" t="s">
        <v>18</v>
      </c>
      <c r="T42">
        <v>26</v>
      </c>
      <c r="U42">
        <v>1011.5</v>
      </c>
    </row>
    <row r="43" spans="1:21" x14ac:dyDescent="0.5">
      <c r="A43" s="3">
        <v>43323</v>
      </c>
      <c r="B43">
        <v>5.6</v>
      </c>
      <c r="C43">
        <v>16.399999999999999</v>
      </c>
      <c r="D43">
        <v>0</v>
      </c>
      <c r="G43" t="s">
        <v>55</v>
      </c>
      <c r="H43">
        <v>46</v>
      </c>
      <c r="I43" s="4">
        <v>0.55347222222222225</v>
      </c>
      <c r="J43">
        <v>11.4</v>
      </c>
      <c r="K43">
        <v>46</v>
      </c>
      <c r="M43" t="s">
        <v>55</v>
      </c>
      <c r="N43">
        <v>24</v>
      </c>
      <c r="O43">
        <v>1023</v>
      </c>
      <c r="P43">
        <v>15.4</v>
      </c>
      <c r="Q43">
        <v>28</v>
      </c>
      <c r="S43" t="s">
        <v>55</v>
      </c>
      <c r="T43">
        <v>26</v>
      </c>
      <c r="U43">
        <v>1021.2</v>
      </c>
    </row>
    <row r="44" spans="1:21" x14ac:dyDescent="0.5">
      <c r="A44" s="3">
        <v>43324</v>
      </c>
      <c r="B44">
        <v>0.4</v>
      </c>
      <c r="C44">
        <v>17.3</v>
      </c>
      <c r="D44">
        <v>0</v>
      </c>
      <c r="G44" t="s">
        <v>57</v>
      </c>
      <c r="H44">
        <v>54</v>
      </c>
      <c r="I44" s="4">
        <v>0.52152777777777781</v>
      </c>
      <c r="J44">
        <v>10</v>
      </c>
      <c r="K44">
        <v>48</v>
      </c>
      <c r="M44" t="s">
        <v>57</v>
      </c>
      <c r="N44">
        <v>22</v>
      </c>
      <c r="O44">
        <v>1028.5</v>
      </c>
      <c r="P44">
        <v>16.5</v>
      </c>
      <c r="Q44">
        <v>31</v>
      </c>
      <c r="S44" t="s">
        <v>56</v>
      </c>
      <c r="T44">
        <v>24</v>
      </c>
      <c r="U44">
        <v>1026</v>
      </c>
    </row>
    <row r="45" spans="1:21" x14ac:dyDescent="0.5">
      <c r="A45" s="3">
        <v>43325</v>
      </c>
      <c r="B45">
        <v>-0.1</v>
      </c>
      <c r="C45">
        <v>19</v>
      </c>
      <c r="D45">
        <v>0</v>
      </c>
      <c r="G45" t="s">
        <v>50</v>
      </c>
      <c r="H45">
        <v>50</v>
      </c>
      <c r="I45" s="4">
        <v>0.47986111111111113</v>
      </c>
      <c r="J45">
        <v>10.1</v>
      </c>
      <c r="K45">
        <v>50</v>
      </c>
      <c r="M45" t="s">
        <v>50</v>
      </c>
      <c r="N45">
        <v>20</v>
      </c>
      <c r="O45">
        <v>1029.8</v>
      </c>
      <c r="P45">
        <v>18.100000000000001</v>
      </c>
      <c r="Q45">
        <v>23</v>
      </c>
      <c r="S45" t="s">
        <v>57</v>
      </c>
      <c r="T45">
        <v>20</v>
      </c>
      <c r="U45">
        <v>1025.3</v>
      </c>
    </row>
    <row r="46" spans="1:21" x14ac:dyDescent="0.5">
      <c r="A46" s="3">
        <v>43326</v>
      </c>
      <c r="B46">
        <v>-1.2</v>
      </c>
      <c r="C46">
        <v>23.1</v>
      </c>
      <c r="D46">
        <v>0</v>
      </c>
      <c r="G46" t="s">
        <v>58</v>
      </c>
      <c r="H46">
        <v>39</v>
      </c>
      <c r="I46" s="4">
        <v>0.4145833333333333</v>
      </c>
      <c r="J46">
        <v>11.4</v>
      </c>
      <c r="K46">
        <v>40</v>
      </c>
      <c r="M46" t="s">
        <v>58</v>
      </c>
      <c r="N46">
        <v>9</v>
      </c>
      <c r="O46">
        <v>1026.4000000000001</v>
      </c>
      <c r="P46">
        <v>22.3</v>
      </c>
      <c r="Q46">
        <v>17</v>
      </c>
      <c r="S46" t="s">
        <v>50</v>
      </c>
      <c r="T46">
        <v>13</v>
      </c>
      <c r="U46">
        <v>1020.9</v>
      </c>
    </row>
    <row r="47" spans="1:21" x14ac:dyDescent="0.5">
      <c r="A47" s="3">
        <v>43327</v>
      </c>
      <c r="B47">
        <v>2</v>
      </c>
      <c r="C47">
        <v>27.3</v>
      </c>
      <c r="D47">
        <v>0</v>
      </c>
      <c r="E47">
        <v>3.6</v>
      </c>
      <c r="G47" t="s">
        <v>18</v>
      </c>
      <c r="H47">
        <v>22</v>
      </c>
      <c r="I47" s="4">
        <v>0.47916666666666669</v>
      </c>
      <c r="J47">
        <v>15.7</v>
      </c>
      <c r="K47">
        <v>22</v>
      </c>
      <c r="M47" t="s">
        <v>51</v>
      </c>
      <c r="N47" t="s">
        <v>52</v>
      </c>
      <c r="O47">
        <v>1021.2</v>
      </c>
      <c r="P47">
        <v>26.5</v>
      </c>
      <c r="Q47">
        <v>8</v>
      </c>
      <c r="S47" t="s">
        <v>15</v>
      </c>
      <c r="T47">
        <v>11</v>
      </c>
      <c r="U47">
        <v>1016.4</v>
      </c>
    </row>
    <row r="48" spans="1:21" x14ac:dyDescent="0.5">
      <c r="A48" s="3">
        <v>43328</v>
      </c>
      <c r="B48">
        <v>3.7</v>
      </c>
      <c r="C48">
        <v>27.9</v>
      </c>
      <c r="D48">
        <v>0</v>
      </c>
      <c r="E48">
        <v>6.6</v>
      </c>
      <c r="G48" t="s">
        <v>57</v>
      </c>
      <c r="H48">
        <v>26</v>
      </c>
      <c r="I48" s="4">
        <v>0.53541666666666665</v>
      </c>
      <c r="J48">
        <v>16.2</v>
      </c>
      <c r="K48">
        <v>13</v>
      </c>
      <c r="M48" t="s">
        <v>18</v>
      </c>
      <c r="N48">
        <v>7</v>
      </c>
      <c r="O48">
        <v>1018.1</v>
      </c>
      <c r="P48">
        <v>27.1</v>
      </c>
      <c r="Q48">
        <v>7</v>
      </c>
      <c r="S48" t="s">
        <v>54</v>
      </c>
      <c r="T48">
        <v>11</v>
      </c>
      <c r="U48">
        <v>1014.4</v>
      </c>
    </row>
    <row r="49" spans="1:21" x14ac:dyDescent="0.5">
      <c r="A49" s="3">
        <v>43329</v>
      </c>
      <c r="B49">
        <v>3.6</v>
      </c>
      <c r="C49">
        <v>28.7</v>
      </c>
      <c r="D49">
        <v>0</v>
      </c>
      <c r="E49">
        <v>6.2</v>
      </c>
      <c r="G49" t="s">
        <v>18</v>
      </c>
      <c r="H49">
        <v>30</v>
      </c>
      <c r="I49" s="4">
        <v>0.64930555555555558</v>
      </c>
      <c r="J49">
        <v>15.4</v>
      </c>
      <c r="K49">
        <v>24</v>
      </c>
      <c r="M49" t="s">
        <v>58</v>
      </c>
      <c r="N49">
        <v>11</v>
      </c>
      <c r="O49">
        <v>1018.6</v>
      </c>
      <c r="P49">
        <v>27.8</v>
      </c>
      <c r="Q49">
        <v>6</v>
      </c>
      <c r="S49" t="s">
        <v>14</v>
      </c>
      <c r="T49">
        <v>11</v>
      </c>
      <c r="U49">
        <v>1014.1</v>
      </c>
    </row>
    <row r="50" spans="1:21" x14ac:dyDescent="0.5">
      <c r="A50" s="3">
        <v>43330</v>
      </c>
      <c r="B50">
        <v>4.4000000000000004</v>
      </c>
      <c r="C50">
        <v>25.2</v>
      </c>
      <c r="D50">
        <v>0</v>
      </c>
      <c r="G50" t="s">
        <v>57</v>
      </c>
      <c r="H50">
        <v>35</v>
      </c>
      <c r="I50" s="4">
        <v>0.62638888888888888</v>
      </c>
      <c r="J50">
        <v>17.399999999999999</v>
      </c>
      <c r="K50">
        <v>17</v>
      </c>
      <c r="M50" t="s">
        <v>54</v>
      </c>
      <c r="N50">
        <v>17</v>
      </c>
      <c r="O50">
        <v>1022.3</v>
      </c>
      <c r="P50">
        <v>24.5</v>
      </c>
      <c r="Q50">
        <v>15</v>
      </c>
      <c r="S50" t="s">
        <v>57</v>
      </c>
      <c r="T50">
        <v>20</v>
      </c>
      <c r="U50">
        <v>1019.7</v>
      </c>
    </row>
    <row r="51" spans="1:21" x14ac:dyDescent="0.5">
      <c r="A51" s="3">
        <v>43331</v>
      </c>
      <c r="B51">
        <v>5.5</v>
      </c>
      <c r="C51">
        <v>19.100000000000001</v>
      </c>
      <c r="D51">
        <v>0</v>
      </c>
      <c r="G51" t="s">
        <v>57</v>
      </c>
      <c r="H51">
        <v>43</v>
      </c>
      <c r="I51" s="4">
        <v>0.42708333333333331</v>
      </c>
      <c r="J51">
        <v>13</v>
      </c>
      <c r="K51">
        <v>38</v>
      </c>
      <c r="M51" t="s">
        <v>50</v>
      </c>
      <c r="N51">
        <v>24</v>
      </c>
      <c r="O51">
        <v>1029.2</v>
      </c>
      <c r="P51">
        <v>17.899999999999999</v>
      </c>
      <c r="Q51">
        <v>25</v>
      </c>
      <c r="S51" t="s">
        <v>57</v>
      </c>
      <c r="T51">
        <v>24</v>
      </c>
      <c r="U51">
        <v>1026.2</v>
      </c>
    </row>
    <row r="52" spans="1:21" x14ac:dyDescent="0.5">
      <c r="A52" s="3">
        <v>43332</v>
      </c>
      <c r="B52">
        <v>-0.9</v>
      </c>
      <c r="C52">
        <v>20.6</v>
      </c>
      <c r="D52">
        <v>0</v>
      </c>
      <c r="G52" t="s">
        <v>61</v>
      </c>
      <c r="H52">
        <v>35</v>
      </c>
      <c r="I52" s="4">
        <v>0.53125</v>
      </c>
      <c r="J52">
        <v>9.8000000000000007</v>
      </c>
      <c r="K52">
        <v>40</v>
      </c>
      <c r="M52" t="s">
        <v>51</v>
      </c>
      <c r="N52" t="s">
        <v>52</v>
      </c>
      <c r="O52">
        <v>1028.7</v>
      </c>
      <c r="P52">
        <v>18.7</v>
      </c>
      <c r="Q52">
        <v>14</v>
      </c>
      <c r="S52" t="s">
        <v>61</v>
      </c>
      <c r="T52">
        <v>15</v>
      </c>
      <c r="U52">
        <v>1023</v>
      </c>
    </row>
    <row r="53" spans="1:21" x14ac:dyDescent="0.5">
      <c r="A53" s="3">
        <v>43333</v>
      </c>
      <c r="B53">
        <v>-1.8</v>
      </c>
      <c r="C53">
        <v>23.6</v>
      </c>
      <c r="D53">
        <v>0</v>
      </c>
      <c r="E53">
        <v>4.5999999999999996</v>
      </c>
      <c r="G53" t="s">
        <v>14</v>
      </c>
      <c r="H53">
        <v>26</v>
      </c>
      <c r="I53" s="4">
        <v>0.55625000000000002</v>
      </c>
      <c r="J53">
        <v>13.1</v>
      </c>
      <c r="K53">
        <v>23</v>
      </c>
      <c r="M53" t="s">
        <v>51</v>
      </c>
      <c r="N53" t="s">
        <v>52</v>
      </c>
      <c r="O53">
        <v>1022.8</v>
      </c>
      <c r="P53">
        <v>23.2</v>
      </c>
      <c r="Q53">
        <v>6</v>
      </c>
      <c r="S53" t="s">
        <v>14</v>
      </c>
      <c r="T53">
        <v>9</v>
      </c>
      <c r="U53">
        <v>1016.1</v>
      </c>
    </row>
    <row r="54" spans="1:21" x14ac:dyDescent="0.5">
      <c r="A54" s="3">
        <v>43334</v>
      </c>
      <c r="B54">
        <v>4.2</v>
      </c>
      <c r="C54">
        <v>27.5</v>
      </c>
      <c r="D54">
        <v>0</v>
      </c>
      <c r="E54">
        <v>6.8</v>
      </c>
      <c r="G54" t="s">
        <v>15</v>
      </c>
      <c r="H54">
        <v>44</v>
      </c>
      <c r="I54" s="4">
        <v>0.45763888888888887</v>
      </c>
      <c r="J54">
        <v>19.2</v>
      </c>
      <c r="K54">
        <v>10</v>
      </c>
      <c r="M54" t="s">
        <v>15</v>
      </c>
      <c r="N54">
        <v>28</v>
      </c>
      <c r="O54">
        <v>1016.3</v>
      </c>
      <c r="P54">
        <v>26.6</v>
      </c>
      <c r="Q54">
        <v>8</v>
      </c>
      <c r="S54" t="s">
        <v>59</v>
      </c>
      <c r="T54">
        <v>7</v>
      </c>
      <c r="U54">
        <v>1011.7</v>
      </c>
    </row>
    <row r="55" spans="1:21" x14ac:dyDescent="0.5">
      <c r="A55" s="3">
        <v>43335</v>
      </c>
      <c r="B55">
        <v>10</v>
      </c>
      <c r="C55">
        <v>21.3</v>
      </c>
      <c r="D55">
        <v>0</v>
      </c>
      <c r="E55">
        <v>8</v>
      </c>
      <c r="G55" t="s">
        <v>55</v>
      </c>
      <c r="H55">
        <v>43</v>
      </c>
      <c r="I55" s="4">
        <v>0.41388888888888892</v>
      </c>
      <c r="J55">
        <v>13.6</v>
      </c>
      <c r="K55">
        <v>38</v>
      </c>
      <c r="M55" t="s">
        <v>54</v>
      </c>
      <c r="N55">
        <v>24</v>
      </c>
      <c r="O55">
        <v>1018.3</v>
      </c>
      <c r="P55">
        <v>19.7</v>
      </c>
      <c r="Q55">
        <v>21</v>
      </c>
      <c r="S55" t="s">
        <v>53</v>
      </c>
      <c r="T55">
        <v>17</v>
      </c>
      <c r="U55">
        <v>1014.6</v>
      </c>
    </row>
    <row r="56" spans="1:21" x14ac:dyDescent="0.5">
      <c r="A56" s="3">
        <v>43336</v>
      </c>
      <c r="B56">
        <v>4.3</v>
      </c>
      <c r="C56">
        <v>20.8</v>
      </c>
      <c r="D56">
        <v>0</v>
      </c>
      <c r="G56" t="s">
        <v>59</v>
      </c>
      <c r="H56">
        <v>39</v>
      </c>
      <c r="I56" s="4">
        <v>0.63472222222222219</v>
      </c>
      <c r="J56">
        <v>12.6</v>
      </c>
      <c r="K56">
        <v>38</v>
      </c>
      <c r="M56" t="s">
        <v>53</v>
      </c>
      <c r="N56">
        <v>15</v>
      </c>
      <c r="O56">
        <v>1019.4</v>
      </c>
      <c r="P56">
        <v>19.7</v>
      </c>
      <c r="Q56">
        <v>27</v>
      </c>
      <c r="S56" t="s">
        <v>53</v>
      </c>
      <c r="T56">
        <v>19</v>
      </c>
      <c r="U56">
        <v>1015.7</v>
      </c>
    </row>
    <row r="57" spans="1:21" x14ac:dyDescent="0.5">
      <c r="A57" s="3">
        <v>43337</v>
      </c>
      <c r="B57">
        <v>3.2</v>
      </c>
      <c r="C57">
        <v>20.9</v>
      </c>
      <c r="D57">
        <v>0</v>
      </c>
      <c r="G57" t="s">
        <v>56</v>
      </c>
      <c r="H57">
        <v>30</v>
      </c>
      <c r="I57" s="4">
        <v>0.55625000000000002</v>
      </c>
      <c r="J57">
        <v>11.7</v>
      </c>
      <c r="K57">
        <v>69</v>
      </c>
      <c r="M57" t="s">
        <v>55</v>
      </c>
      <c r="N57">
        <v>9</v>
      </c>
      <c r="O57">
        <v>1020.7</v>
      </c>
      <c r="P57">
        <v>19.7</v>
      </c>
      <c r="Q57">
        <v>29</v>
      </c>
      <c r="S57" t="s">
        <v>55</v>
      </c>
      <c r="T57">
        <v>13</v>
      </c>
      <c r="U57">
        <v>1016.6</v>
      </c>
    </row>
    <row r="58" spans="1:21" x14ac:dyDescent="0.5">
      <c r="A58" s="3">
        <v>43338</v>
      </c>
      <c r="B58">
        <v>3</v>
      </c>
      <c r="C58">
        <v>24.3</v>
      </c>
      <c r="D58">
        <v>0</v>
      </c>
      <c r="G58" t="s">
        <v>61</v>
      </c>
      <c r="H58">
        <v>41</v>
      </c>
      <c r="I58" s="4">
        <v>0.49861111111111112</v>
      </c>
      <c r="J58">
        <v>13.9</v>
      </c>
      <c r="K58">
        <v>34</v>
      </c>
      <c r="M58" t="s">
        <v>19</v>
      </c>
      <c r="N58">
        <v>6</v>
      </c>
      <c r="O58">
        <v>1022.1</v>
      </c>
      <c r="P58">
        <v>23</v>
      </c>
      <c r="Q58">
        <v>12</v>
      </c>
      <c r="S58" t="s">
        <v>60</v>
      </c>
      <c r="T58">
        <v>13</v>
      </c>
      <c r="U58">
        <v>1018.4</v>
      </c>
    </row>
    <row r="59" spans="1:21" x14ac:dyDescent="0.5">
      <c r="A59" s="3">
        <v>43339</v>
      </c>
      <c r="B59">
        <v>3.2</v>
      </c>
      <c r="C59">
        <v>25.6</v>
      </c>
      <c r="D59">
        <v>0</v>
      </c>
      <c r="G59" t="s">
        <v>58</v>
      </c>
      <c r="H59">
        <v>37</v>
      </c>
      <c r="I59" s="4">
        <v>0.56111111111111112</v>
      </c>
      <c r="J59">
        <v>17</v>
      </c>
      <c r="K59">
        <v>20</v>
      </c>
      <c r="M59" t="s">
        <v>58</v>
      </c>
      <c r="N59">
        <v>13</v>
      </c>
      <c r="O59">
        <v>1022.4</v>
      </c>
      <c r="P59">
        <v>24.5</v>
      </c>
      <c r="Q59">
        <v>11</v>
      </c>
      <c r="S59" t="s">
        <v>60</v>
      </c>
      <c r="T59">
        <v>9</v>
      </c>
      <c r="U59">
        <v>1018.4</v>
      </c>
    </row>
    <row r="60" spans="1:21" x14ac:dyDescent="0.5">
      <c r="A60" s="3">
        <v>43340</v>
      </c>
      <c r="B60">
        <v>3.9</v>
      </c>
      <c r="C60">
        <v>28.5</v>
      </c>
      <c r="D60">
        <v>0</v>
      </c>
      <c r="E60">
        <v>3</v>
      </c>
      <c r="J60">
        <v>15.3</v>
      </c>
      <c r="K60">
        <v>18</v>
      </c>
      <c r="M60" t="s">
        <v>58</v>
      </c>
      <c r="N60">
        <v>7</v>
      </c>
      <c r="O60">
        <v>1019.9</v>
      </c>
      <c r="P60">
        <v>27.8</v>
      </c>
      <c r="Q60">
        <v>9</v>
      </c>
      <c r="S60" t="s">
        <v>60</v>
      </c>
      <c r="T60">
        <v>17</v>
      </c>
      <c r="U60">
        <v>1014.7</v>
      </c>
    </row>
    <row r="61" spans="1:21" x14ac:dyDescent="0.5">
      <c r="A61" s="3">
        <v>43341</v>
      </c>
      <c r="B61">
        <v>15.3</v>
      </c>
      <c r="C61">
        <v>30.7</v>
      </c>
      <c r="D61">
        <v>0</v>
      </c>
      <c r="E61">
        <v>8</v>
      </c>
      <c r="G61" t="s">
        <v>15</v>
      </c>
      <c r="H61">
        <v>56</v>
      </c>
      <c r="I61" s="4">
        <v>0.44861111111111113</v>
      </c>
      <c r="J61">
        <v>22.4</v>
      </c>
      <c r="K61">
        <v>12</v>
      </c>
      <c r="M61" t="s">
        <v>14</v>
      </c>
      <c r="N61">
        <v>22</v>
      </c>
      <c r="O61">
        <v>1015.7</v>
      </c>
      <c r="P61">
        <v>29.6</v>
      </c>
      <c r="Q61">
        <v>9</v>
      </c>
      <c r="S61" t="s">
        <v>15</v>
      </c>
      <c r="T61">
        <v>31</v>
      </c>
      <c r="U61">
        <v>1010.5</v>
      </c>
    </row>
    <row r="62" spans="1:21" x14ac:dyDescent="0.5">
      <c r="A62" s="3">
        <v>43342</v>
      </c>
      <c r="B62">
        <v>20.7</v>
      </c>
      <c r="C62">
        <v>31</v>
      </c>
      <c r="D62">
        <v>0</v>
      </c>
      <c r="E62">
        <v>18</v>
      </c>
      <c r="G62" t="s">
        <v>18</v>
      </c>
      <c r="H62">
        <v>74</v>
      </c>
      <c r="I62" s="4">
        <v>0.69652777777777775</v>
      </c>
      <c r="J62">
        <v>24.5</v>
      </c>
      <c r="K62">
        <v>10</v>
      </c>
      <c r="L62">
        <v>5</v>
      </c>
      <c r="M62" t="s">
        <v>17</v>
      </c>
      <c r="N62">
        <v>30</v>
      </c>
      <c r="O62">
        <v>1009.9</v>
      </c>
      <c r="P62">
        <v>29.7</v>
      </c>
      <c r="Q62">
        <v>26</v>
      </c>
      <c r="R62">
        <v>1</v>
      </c>
      <c r="S62" t="s">
        <v>17</v>
      </c>
      <c r="T62">
        <v>52</v>
      </c>
      <c r="U62">
        <v>1005</v>
      </c>
    </row>
    <row r="63" spans="1:21" x14ac:dyDescent="0.5">
      <c r="A63" s="3">
        <v>43343</v>
      </c>
      <c r="B63">
        <v>10.4</v>
      </c>
      <c r="C63">
        <v>24.1</v>
      </c>
      <c r="D63">
        <v>0</v>
      </c>
      <c r="E63">
        <v>15</v>
      </c>
      <c r="G63" t="s">
        <v>19</v>
      </c>
      <c r="H63">
        <v>44</v>
      </c>
      <c r="I63" s="4">
        <v>3.888888888888889E-2</v>
      </c>
      <c r="J63">
        <v>16.3</v>
      </c>
      <c r="K63">
        <v>31</v>
      </c>
      <c r="M63" t="s">
        <v>59</v>
      </c>
      <c r="N63">
        <v>22</v>
      </c>
      <c r="O63">
        <v>1018.7</v>
      </c>
      <c r="P63">
        <v>23.2</v>
      </c>
      <c r="Q63">
        <v>15</v>
      </c>
      <c r="S63" t="s">
        <v>59</v>
      </c>
      <c r="T63">
        <v>13</v>
      </c>
      <c r="U63">
        <v>1015.6</v>
      </c>
    </row>
    <row r="64" spans="1:21" x14ac:dyDescent="0.5">
      <c r="A64" s="3">
        <v>43344</v>
      </c>
      <c r="B64">
        <v>5.4</v>
      </c>
      <c r="C64">
        <v>26.3</v>
      </c>
      <c r="D64">
        <v>0</v>
      </c>
      <c r="G64" t="s">
        <v>60</v>
      </c>
      <c r="H64">
        <v>37</v>
      </c>
      <c r="I64" s="4">
        <v>0.56597222222222221</v>
      </c>
      <c r="J64">
        <v>16.399999999999999</v>
      </c>
      <c r="K64">
        <v>34</v>
      </c>
      <c r="M64" t="s">
        <v>50</v>
      </c>
      <c r="N64">
        <v>11</v>
      </c>
      <c r="O64">
        <v>1020</v>
      </c>
      <c r="P64">
        <v>25.8</v>
      </c>
      <c r="Q64">
        <v>18</v>
      </c>
      <c r="S64" t="s">
        <v>58</v>
      </c>
      <c r="T64">
        <v>13</v>
      </c>
      <c r="U64">
        <v>1014.5</v>
      </c>
    </row>
    <row r="65" spans="1:21" x14ac:dyDescent="0.5">
      <c r="A65" s="3">
        <v>43345</v>
      </c>
      <c r="B65">
        <v>7</v>
      </c>
      <c r="C65">
        <v>26.1</v>
      </c>
      <c r="D65">
        <v>0</v>
      </c>
      <c r="G65" t="s">
        <v>50</v>
      </c>
      <c r="H65">
        <v>39</v>
      </c>
      <c r="I65" s="4">
        <v>0.44236111111111115</v>
      </c>
      <c r="J65">
        <v>17.899999999999999</v>
      </c>
      <c r="K65">
        <v>34</v>
      </c>
      <c r="M65" t="s">
        <v>50</v>
      </c>
      <c r="N65">
        <v>17</v>
      </c>
      <c r="O65">
        <v>1020.3</v>
      </c>
      <c r="P65">
        <v>25.3</v>
      </c>
      <c r="Q65">
        <v>21</v>
      </c>
      <c r="S65" t="s">
        <v>61</v>
      </c>
      <c r="T65">
        <v>13</v>
      </c>
      <c r="U65">
        <v>1016.6</v>
      </c>
    </row>
    <row r="66" spans="1:21" x14ac:dyDescent="0.5">
      <c r="A66" s="3">
        <v>43346</v>
      </c>
      <c r="B66">
        <v>8.8000000000000007</v>
      </c>
      <c r="C66">
        <v>26</v>
      </c>
      <c r="D66">
        <v>0</v>
      </c>
      <c r="G66" t="s">
        <v>61</v>
      </c>
      <c r="H66">
        <v>44</v>
      </c>
      <c r="I66" s="4">
        <v>0.39374999999999999</v>
      </c>
      <c r="J66">
        <v>17.7</v>
      </c>
      <c r="K66">
        <v>33</v>
      </c>
      <c r="M66" t="s">
        <v>58</v>
      </c>
      <c r="N66">
        <v>31</v>
      </c>
      <c r="O66">
        <v>1022.8</v>
      </c>
      <c r="P66">
        <v>24.6</v>
      </c>
      <c r="Q66">
        <v>22</v>
      </c>
      <c r="S66" t="s">
        <v>61</v>
      </c>
      <c r="T66">
        <v>13</v>
      </c>
      <c r="U66">
        <v>1018.4</v>
      </c>
    </row>
    <row r="67" spans="1:21" x14ac:dyDescent="0.5">
      <c r="A67" s="3">
        <v>43347</v>
      </c>
      <c r="B67">
        <v>9.9</v>
      </c>
      <c r="C67">
        <v>27.2</v>
      </c>
      <c r="D67">
        <v>0</v>
      </c>
      <c r="G67" t="s">
        <v>50</v>
      </c>
      <c r="H67">
        <v>31</v>
      </c>
      <c r="I67" s="4">
        <v>0.55694444444444446</v>
      </c>
      <c r="J67">
        <v>17.399999999999999</v>
      </c>
      <c r="K67">
        <v>32</v>
      </c>
      <c r="M67" t="s">
        <v>61</v>
      </c>
      <c r="N67">
        <v>20</v>
      </c>
      <c r="O67">
        <v>1021.6</v>
      </c>
      <c r="P67">
        <v>25.8</v>
      </c>
      <c r="Q67">
        <v>15</v>
      </c>
      <c r="S67" t="s">
        <v>61</v>
      </c>
      <c r="T67">
        <v>9</v>
      </c>
      <c r="U67">
        <v>1016.7</v>
      </c>
    </row>
    <row r="68" spans="1:21" x14ac:dyDescent="0.5">
      <c r="A68" s="3">
        <v>43348</v>
      </c>
      <c r="B68">
        <v>8.5</v>
      </c>
      <c r="C68">
        <v>32.6</v>
      </c>
      <c r="D68">
        <v>0</v>
      </c>
      <c r="G68" t="s">
        <v>15</v>
      </c>
      <c r="H68">
        <v>52</v>
      </c>
      <c r="I68" s="4">
        <v>0.65625</v>
      </c>
      <c r="J68">
        <v>21.6</v>
      </c>
      <c r="K68">
        <v>20</v>
      </c>
      <c r="L68">
        <v>1</v>
      </c>
      <c r="M68" t="s">
        <v>14</v>
      </c>
      <c r="N68">
        <v>19</v>
      </c>
      <c r="O68">
        <v>1014.9</v>
      </c>
      <c r="P68">
        <v>32.6</v>
      </c>
      <c r="Q68">
        <v>14</v>
      </c>
      <c r="R68">
        <v>1</v>
      </c>
      <c r="S68" t="s">
        <v>18</v>
      </c>
      <c r="T68">
        <v>30</v>
      </c>
      <c r="U68">
        <v>1008.4</v>
      </c>
    </row>
    <row r="69" spans="1:21" x14ac:dyDescent="0.5">
      <c r="A69" s="3">
        <v>43349</v>
      </c>
      <c r="B69">
        <v>15.3</v>
      </c>
      <c r="C69">
        <v>27.6</v>
      </c>
      <c r="D69">
        <v>0</v>
      </c>
      <c r="G69" t="s">
        <v>17</v>
      </c>
      <c r="H69">
        <v>41</v>
      </c>
      <c r="I69" s="4">
        <v>2.7777777777777776E-2</v>
      </c>
      <c r="J69">
        <v>20.8</v>
      </c>
      <c r="K69">
        <v>23</v>
      </c>
      <c r="M69" t="s">
        <v>55</v>
      </c>
      <c r="N69">
        <v>22</v>
      </c>
      <c r="O69">
        <v>1014</v>
      </c>
      <c r="P69">
        <v>26.3</v>
      </c>
      <c r="Q69">
        <v>17</v>
      </c>
      <c r="S69" t="s">
        <v>61</v>
      </c>
      <c r="T69">
        <v>7</v>
      </c>
      <c r="U69">
        <v>1010.6</v>
      </c>
    </row>
    <row r="70" spans="1:21" x14ac:dyDescent="0.5">
      <c r="A70" s="3">
        <v>43350</v>
      </c>
      <c r="B70">
        <v>8.1999999999999993</v>
      </c>
      <c r="C70">
        <v>24.9</v>
      </c>
      <c r="D70">
        <v>0</v>
      </c>
      <c r="G70" t="s">
        <v>58</v>
      </c>
      <c r="H70">
        <v>39</v>
      </c>
      <c r="I70" s="4">
        <v>0.36388888888888887</v>
      </c>
      <c r="J70">
        <v>16.2</v>
      </c>
      <c r="K70">
        <v>31</v>
      </c>
      <c r="M70" t="s">
        <v>61</v>
      </c>
      <c r="N70">
        <v>28</v>
      </c>
      <c r="O70">
        <v>1018.9</v>
      </c>
      <c r="P70">
        <v>23.7</v>
      </c>
      <c r="Q70">
        <v>18</v>
      </c>
      <c r="S70" t="s">
        <v>50</v>
      </c>
      <c r="T70">
        <v>13</v>
      </c>
      <c r="U70">
        <v>1014</v>
      </c>
    </row>
    <row r="71" spans="1:21" x14ac:dyDescent="0.5">
      <c r="A71" s="3">
        <v>43351</v>
      </c>
      <c r="B71">
        <v>5.9</v>
      </c>
      <c r="C71">
        <v>27.3</v>
      </c>
      <c r="D71">
        <v>0</v>
      </c>
      <c r="G71" t="s">
        <v>58</v>
      </c>
      <c r="H71">
        <v>37</v>
      </c>
      <c r="I71" s="4">
        <v>0.54027777777777775</v>
      </c>
      <c r="J71">
        <v>17.899999999999999</v>
      </c>
      <c r="K71">
        <v>27</v>
      </c>
      <c r="M71" t="s">
        <v>58</v>
      </c>
      <c r="N71">
        <v>15</v>
      </c>
      <c r="O71">
        <v>1020.5</v>
      </c>
      <c r="P71">
        <v>25.7</v>
      </c>
      <c r="Q71">
        <v>15</v>
      </c>
      <c r="S71" t="s">
        <v>58</v>
      </c>
      <c r="T71">
        <v>24</v>
      </c>
      <c r="U71">
        <v>1017.1</v>
      </c>
    </row>
    <row r="72" spans="1:21" x14ac:dyDescent="0.5">
      <c r="A72" s="3">
        <v>43352</v>
      </c>
      <c r="B72">
        <v>6.3</v>
      </c>
      <c r="C72">
        <v>26.5</v>
      </c>
      <c r="D72">
        <v>0</v>
      </c>
      <c r="G72" t="s">
        <v>58</v>
      </c>
      <c r="H72">
        <v>44</v>
      </c>
      <c r="I72" s="4">
        <v>0.50277777777777777</v>
      </c>
      <c r="J72">
        <v>18.2</v>
      </c>
      <c r="K72">
        <v>24</v>
      </c>
      <c r="M72" t="s">
        <v>61</v>
      </c>
      <c r="N72">
        <v>15</v>
      </c>
      <c r="O72">
        <v>1024.5</v>
      </c>
      <c r="P72">
        <v>25.7</v>
      </c>
      <c r="Q72">
        <v>12</v>
      </c>
      <c r="S72" t="s">
        <v>57</v>
      </c>
      <c r="T72">
        <v>19</v>
      </c>
      <c r="U72">
        <v>1021.3</v>
      </c>
    </row>
    <row r="73" spans="1:21" x14ac:dyDescent="0.5">
      <c r="A73" s="3">
        <v>43353</v>
      </c>
      <c r="B73">
        <v>3.2</v>
      </c>
      <c r="C73">
        <v>27.1</v>
      </c>
      <c r="D73">
        <v>0</v>
      </c>
      <c r="G73" t="s">
        <v>61</v>
      </c>
      <c r="H73">
        <v>39</v>
      </c>
      <c r="I73" s="4">
        <v>0.42083333333333334</v>
      </c>
      <c r="J73">
        <v>16.399999999999999</v>
      </c>
      <c r="K73">
        <v>15</v>
      </c>
      <c r="M73" t="s">
        <v>51</v>
      </c>
      <c r="N73" t="s">
        <v>52</v>
      </c>
      <c r="O73">
        <v>1025</v>
      </c>
      <c r="P73">
        <v>26.1</v>
      </c>
      <c r="Q73">
        <v>8</v>
      </c>
      <c r="S73" t="s">
        <v>61</v>
      </c>
      <c r="T73">
        <v>15</v>
      </c>
      <c r="U73">
        <v>1019.1</v>
      </c>
    </row>
    <row r="74" spans="1:21" x14ac:dyDescent="0.5">
      <c r="A74" s="3">
        <v>43354</v>
      </c>
      <c r="B74">
        <v>5</v>
      </c>
      <c r="C74">
        <v>32.4</v>
      </c>
      <c r="D74">
        <v>0</v>
      </c>
      <c r="E74">
        <v>3.8</v>
      </c>
      <c r="G74" t="s">
        <v>55</v>
      </c>
      <c r="H74">
        <v>35</v>
      </c>
      <c r="I74" s="4">
        <v>0.99444444444444446</v>
      </c>
      <c r="J74">
        <v>22.1</v>
      </c>
      <c r="K74">
        <v>10</v>
      </c>
      <c r="M74" t="s">
        <v>14</v>
      </c>
      <c r="N74">
        <v>13</v>
      </c>
      <c r="O74">
        <v>1018</v>
      </c>
      <c r="P74">
        <v>31.2</v>
      </c>
      <c r="Q74">
        <v>8</v>
      </c>
      <c r="S74" t="s">
        <v>56</v>
      </c>
      <c r="T74">
        <v>17</v>
      </c>
      <c r="U74">
        <v>1012.3</v>
      </c>
    </row>
    <row r="75" spans="1:21" x14ac:dyDescent="0.5">
      <c r="A75" s="3">
        <v>43355</v>
      </c>
      <c r="B75">
        <v>11.7</v>
      </c>
      <c r="C75">
        <v>23.9</v>
      </c>
      <c r="D75">
        <v>0</v>
      </c>
      <c r="E75">
        <v>2</v>
      </c>
      <c r="G75" t="s">
        <v>57</v>
      </c>
      <c r="H75">
        <v>46</v>
      </c>
      <c r="I75" s="4">
        <v>0.4993055555555555</v>
      </c>
      <c r="J75">
        <v>17.899999999999999</v>
      </c>
      <c r="K75">
        <v>53</v>
      </c>
      <c r="L75">
        <v>5</v>
      </c>
      <c r="M75" t="s">
        <v>50</v>
      </c>
      <c r="N75">
        <v>31</v>
      </c>
      <c r="O75">
        <v>1019.8</v>
      </c>
      <c r="P75">
        <v>23.2</v>
      </c>
      <c r="Q75">
        <v>29</v>
      </c>
      <c r="S75" t="s">
        <v>50</v>
      </c>
      <c r="T75">
        <v>20</v>
      </c>
      <c r="U75">
        <v>1016.6</v>
      </c>
    </row>
    <row r="76" spans="1:21" x14ac:dyDescent="0.5">
      <c r="A76" s="3">
        <v>43356</v>
      </c>
      <c r="B76">
        <v>6</v>
      </c>
      <c r="C76">
        <v>28.2</v>
      </c>
      <c r="D76">
        <v>0</v>
      </c>
      <c r="E76">
        <v>3.8</v>
      </c>
      <c r="G76" t="s">
        <v>58</v>
      </c>
      <c r="H76">
        <v>39</v>
      </c>
      <c r="I76" s="4">
        <v>0.3840277777777778</v>
      </c>
      <c r="J76">
        <v>17.100000000000001</v>
      </c>
      <c r="K76">
        <v>28</v>
      </c>
      <c r="M76" t="s">
        <v>58</v>
      </c>
      <c r="N76">
        <v>28</v>
      </c>
      <c r="O76">
        <v>1020.2</v>
      </c>
      <c r="P76">
        <v>27.6</v>
      </c>
      <c r="Q76">
        <v>14</v>
      </c>
      <c r="S76" t="s">
        <v>61</v>
      </c>
      <c r="T76">
        <v>17</v>
      </c>
      <c r="U76">
        <v>1015.2</v>
      </c>
    </row>
    <row r="77" spans="1:21" x14ac:dyDescent="0.5">
      <c r="A77" s="3">
        <v>43357</v>
      </c>
      <c r="B77">
        <v>11.8</v>
      </c>
      <c r="C77">
        <v>33.299999999999997</v>
      </c>
      <c r="D77">
        <v>0</v>
      </c>
      <c r="G77" t="s">
        <v>15</v>
      </c>
      <c r="H77">
        <v>41</v>
      </c>
      <c r="I77" s="4">
        <v>0.4291666666666667</v>
      </c>
      <c r="J77">
        <v>25.9</v>
      </c>
      <c r="K77">
        <v>14</v>
      </c>
      <c r="M77" t="s">
        <v>15</v>
      </c>
      <c r="N77">
        <v>24</v>
      </c>
      <c r="O77">
        <v>1017.2</v>
      </c>
      <c r="P77">
        <v>31.8</v>
      </c>
      <c r="Q77">
        <v>7</v>
      </c>
      <c r="S77" t="s">
        <v>14</v>
      </c>
      <c r="T77">
        <v>17</v>
      </c>
      <c r="U77">
        <v>1012.3</v>
      </c>
    </row>
    <row r="78" spans="1:21" x14ac:dyDescent="0.5">
      <c r="A78" s="3">
        <v>43358</v>
      </c>
      <c r="B78">
        <v>15.9</v>
      </c>
      <c r="C78">
        <v>23.3</v>
      </c>
      <c r="D78">
        <v>0</v>
      </c>
      <c r="G78" t="s">
        <v>54</v>
      </c>
      <c r="H78">
        <v>48</v>
      </c>
      <c r="I78" s="4">
        <v>0.19513888888888889</v>
      </c>
      <c r="J78">
        <v>20.100000000000001</v>
      </c>
      <c r="K78">
        <v>29</v>
      </c>
      <c r="M78" t="s">
        <v>56</v>
      </c>
      <c r="N78">
        <v>31</v>
      </c>
      <c r="O78">
        <v>1021.1</v>
      </c>
      <c r="P78">
        <v>21.7</v>
      </c>
      <c r="Q78">
        <v>28</v>
      </c>
      <c r="S78" t="s">
        <v>57</v>
      </c>
      <c r="T78">
        <v>22</v>
      </c>
      <c r="U78">
        <v>1018.7</v>
      </c>
    </row>
    <row r="79" spans="1:21" x14ac:dyDescent="0.5">
      <c r="A79" s="3">
        <v>43359</v>
      </c>
      <c r="B79">
        <v>6.3</v>
      </c>
      <c r="C79">
        <v>21</v>
      </c>
      <c r="D79">
        <v>0</v>
      </c>
      <c r="G79" t="s">
        <v>58</v>
      </c>
      <c r="H79">
        <v>50</v>
      </c>
      <c r="I79" s="4">
        <v>0.4069444444444445</v>
      </c>
      <c r="J79">
        <v>13.2</v>
      </c>
      <c r="K79">
        <v>32</v>
      </c>
      <c r="M79" t="s">
        <v>50</v>
      </c>
      <c r="N79">
        <v>31</v>
      </c>
      <c r="O79">
        <v>1023.8</v>
      </c>
      <c r="P79">
        <v>20.2</v>
      </c>
      <c r="Q79">
        <v>18</v>
      </c>
      <c r="S79" t="s">
        <v>50</v>
      </c>
      <c r="T79">
        <v>24</v>
      </c>
      <c r="U79">
        <v>1019</v>
      </c>
    </row>
    <row r="80" spans="1:21" x14ac:dyDescent="0.5">
      <c r="A80" s="3">
        <v>43360</v>
      </c>
      <c r="B80">
        <v>2.5</v>
      </c>
      <c r="C80">
        <v>29.6</v>
      </c>
      <c r="D80">
        <v>0</v>
      </c>
      <c r="G80" t="s">
        <v>14</v>
      </c>
      <c r="H80">
        <v>30</v>
      </c>
      <c r="I80" s="4">
        <v>0.49791666666666662</v>
      </c>
      <c r="J80">
        <v>15.4</v>
      </c>
      <c r="K80">
        <v>22</v>
      </c>
      <c r="M80" t="s">
        <v>61</v>
      </c>
      <c r="N80">
        <v>19</v>
      </c>
      <c r="O80">
        <v>1019.4</v>
      </c>
      <c r="P80">
        <v>28.3</v>
      </c>
      <c r="Q80">
        <v>9</v>
      </c>
      <c r="S80" t="s">
        <v>16</v>
      </c>
      <c r="T80">
        <v>6</v>
      </c>
      <c r="U80">
        <v>1013</v>
      </c>
    </row>
    <row r="81" spans="1:21" x14ac:dyDescent="0.5">
      <c r="A81" s="3">
        <v>43361</v>
      </c>
      <c r="B81">
        <v>14.9</v>
      </c>
      <c r="C81">
        <v>34.6</v>
      </c>
      <c r="D81">
        <v>0</v>
      </c>
      <c r="E81">
        <v>4.5999999999999996</v>
      </c>
      <c r="G81" t="s">
        <v>17</v>
      </c>
      <c r="H81">
        <v>56</v>
      </c>
      <c r="I81" s="4">
        <v>0.57222222222222219</v>
      </c>
      <c r="J81">
        <v>25.6</v>
      </c>
      <c r="K81">
        <v>9</v>
      </c>
      <c r="L81">
        <v>1</v>
      </c>
      <c r="M81" t="s">
        <v>15</v>
      </c>
      <c r="N81">
        <v>35</v>
      </c>
      <c r="O81">
        <v>1014</v>
      </c>
      <c r="P81">
        <v>32.6</v>
      </c>
      <c r="Q81">
        <v>10</v>
      </c>
      <c r="R81">
        <v>7</v>
      </c>
      <c r="S81" t="s">
        <v>18</v>
      </c>
      <c r="T81">
        <v>22</v>
      </c>
      <c r="U81">
        <v>1010.1</v>
      </c>
    </row>
    <row r="82" spans="1:21" x14ac:dyDescent="0.5">
      <c r="A82" s="3">
        <v>43362</v>
      </c>
      <c r="B82">
        <v>12.9</v>
      </c>
      <c r="C82">
        <v>18.5</v>
      </c>
      <c r="D82">
        <v>0</v>
      </c>
      <c r="E82">
        <v>6.6</v>
      </c>
      <c r="G82" t="s">
        <v>50</v>
      </c>
      <c r="H82">
        <v>39</v>
      </c>
      <c r="I82" s="4">
        <v>0.4375</v>
      </c>
      <c r="J82">
        <v>16</v>
      </c>
      <c r="K82">
        <v>40</v>
      </c>
      <c r="L82">
        <v>8</v>
      </c>
      <c r="M82" t="s">
        <v>57</v>
      </c>
      <c r="N82">
        <v>28</v>
      </c>
      <c r="O82">
        <v>1020.6</v>
      </c>
      <c r="P82">
        <v>16.600000000000001</v>
      </c>
      <c r="Q82">
        <v>33</v>
      </c>
      <c r="R82">
        <v>7</v>
      </c>
      <c r="S82" t="s">
        <v>56</v>
      </c>
      <c r="T82">
        <v>22</v>
      </c>
      <c r="U82">
        <v>1019.1</v>
      </c>
    </row>
    <row r="83" spans="1:21" x14ac:dyDescent="0.5">
      <c r="A83" s="3">
        <v>43363</v>
      </c>
      <c r="B83">
        <v>4.3</v>
      </c>
      <c r="C83">
        <v>21</v>
      </c>
      <c r="D83">
        <v>0</v>
      </c>
      <c r="E83">
        <v>4</v>
      </c>
      <c r="G83" t="s">
        <v>50</v>
      </c>
      <c r="H83">
        <v>50</v>
      </c>
      <c r="I83" s="4">
        <v>0.44097222222222227</v>
      </c>
      <c r="J83">
        <v>15.5</v>
      </c>
      <c r="K83">
        <v>27</v>
      </c>
      <c r="L83">
        <v>5</v>
      </c>
      <c r="M83" t="s">
        <v>50</v>
      </c>
      <c r="N83">
        <v>17</v>
      </c>
      <c r="O83">
        <v>1023.6</v>
      </c>
      <c r="P83">
        <v>19.600000000000001</v>
      </c>
      <c r="Q83">
        <v>23</v>
      </c>
      <c r="R83">
        <v>7</v>
      </c>
      <c r="S83" t="s">
        <v>58</v>
      </c>
      <c r="T83">
        <v>26</v>
      </c>
      <c r="U83">
        <v>1020</v>
      </c>
    </row>
    <row r="84" spans="1:21" x14ac:dyDescent="0.5">
      <c r="A84" s="3">
        <v>43364</v>
      </c>
      <c r="B84">
        <v>11.7</v>
      </c>
      <c r="C84">
        <v>17.899999999999999</v>
      </c>
      <c r="D84">
        <v>0</v>
      </c>
      <c r="E84">
        <v>4.5999999999999996</v>
      </c>
      <c r="G84" t="s">
        <v>57</v>
      </c>
      <c r="H84">
        <v>28</v>
      </c>
      <c r="I84" s="4">
        <v>0.47152777777777777</v>
      </c>
      <c r="J84">
        <v>15.8</v>
      </c>
      <c r="K84">
        <v>32</v>
      </c>
      <c r="L84">
        <v>8</v>
      </c>
      <c r="M84" t="s">
        <v>61</v>
      </c>
      <c r="N84">
        <v>13</v>
      </c>
      <c r="O84">
        <v>1024.8</v>
      </c>
      <c r="P84">
        <v>13.4</v>
      </c>
      <c r="Q84">
        <v>73</v>
      </c>
      <c r="R84">
        <v>8</v>
      </c>
      <c r="S84" t="s">
        <v>54</v>
      </c>
      <c r="T84">
        <v>7</v>
      </c>
      <c r="U84">
        <v>1023.4</v>
      </c>
    </row>
    <row r="85" spans="1:21" x14ac:dyDescent="0.5">
      <c r="A85" s="3">
        <v>43365</v>
      </c>
      <c r="B85">
        <v>4.9000000000000004</v>
      </c>
      <c r="C85">
        <v>26.4</v>
      </c>
      <c r="D85">
        <v>0</v>
      </c>
      <c r="G85" t="s">
        <v>58</v>
      </c>
      <c r="H85">
        <v>48</v>
      </c>
      <c r="I85" s="4">
        <v>0.63958333333333328</v>
      </c>
      <c r="J85">
        <v>14.5</v>
      </c>
      <c r="K85">
        <v>61</v>
      </c>
      <c r="M85" t="s">
        <v>58</v>
      </c>
      <c r="N85">
        <v>2</v>
      </c>
      <c r="O85">
        <v>1026.5</v>
      </c>
      <c r="P85">
        <v>25</v>
      </c>
      <c r="Q85">
        <v>21</v>
      </c>
      <c r="S85" t="s">
        <v>58</v>
      </c>
      <c r="T85">
        <v>19</v>
      </c>
      <c r="U85">
        <v>1021.2</v>
      </c>
    </row>
    <row r="86" spans="1:21" x14ac:dyDescent="0.5">
      <c r="A86" s="3">
        <v>43366</v>
      </c>
      <c r="B86">
        <v>6.9</v>
      </c>
      <c r="C86">
        <v>29.3</v>
      </c>
      <c r="D86">
        <v>0</v>
      </c>
      <c r="G86" t="s">
        <v>58</v>
      </c>
      <c r="H86">
        <v>41</v>
      </c>
      <c r="I86" s="4">
        <v>0.60902777777777783</v>
      </c>
      <c r="J86">
        <v>19.600000000000001</v>
      </c>
      <c r="K86">
        <v>26</v>
      </c>
      <c r="M86" t="s">
        <v>50</v>
      </c>
      <c r="N86">
        <v>11</v>
      </c>
      <c r="O86">
        <v>1024.5</v>
      </c>
      <c r="P86">
        <v>29.2</v>
      </c>
      <c r="Q86">
        <v>11</v>
      </c>
      <c r="S86" t="s">
        <v>61</v>
      </c>
      <c r="T86">
        <v>15</v>
      </c>
      <c r="U86">
        <v>1019.3</v>
      </c>
    </row>
    <row r="87" spans="1:21" x14ac:dyDescent="0.5">
      <c r="A87" s="3">
        <v>43367</v>
      </c>
      <c r="B87">
        <v>8</v>
      </c>
      <c r="C87">
        <v>30</v>
      </c>
      <c r="D87">
        <v>0</v>
      </c>
      <c r="G87" t="s">
        <v>50</v>
      </c>
      <c r="H87">
        <v>43</v>
      </c>
      <c r="I87" s="4">
        <v>0.59027777777777779</v>
      </c>
      <c r="J87">
        <v>22.6</v>
      </c>
      <c r="K87">
        <v>12</v>
      </c>
      <c r="M87" t="s">
        <v>61</v>
      </c>
      <c r="N87">
        <v>28</v>
      </c>
      <c r="O87">
        <v>1022.5</v>
      </c>
      <c r="P87">
        <v>29.4</v>
      </c>
      <c r="Q87">
        <v>9</v>
      </c>
      <c r="S87" t="s">
        <v>50</v>
      </c>
      <c r="T87">
        <v>26</v>
      </c>
      <c r="U87">
        <v>1018</v>
      </c>
    </row>
    <row r="88" spans="1:21" x14ac:dyDescent="0.5">
      <c r="A88" s="3">
        <v>43368</v>
      </c>
      <c r="B88">
        <v>8.1</v>
      </c>
      <c r="C88">
        <v>29.7</v>
      </c>
      <c r="D88">
        <v>0</v>
      </c>
      <c r="G88" t="s">
        <v>58</v>
      </c>
      <c r="H88">
        <v>41</v>
      </c>
      <c r="I88" s="4">
        <v>0.61597222222222225</v>
      </c>
      <c r="J88">
        <v>20.9</v>
      </c>
      <c r="K88">
        <v>21</v>
      </c>
      <c r="M88" t="s">
        <v>58</v>
      </c>
      <c r="N88">
        <v>24</v>
      </c>
      <c r="O88">
        <v>1022.1</v>
      </c>
      <c r="P88">
        <v>28</v>
      </c>
      <c r="Q88">
        <v>12</v>
      </c>
      <c r="S88" t="s">
        <v>55</v>
      </c>
      <c r="T88">
        <v>17</v>
      </c>
      <c r="U88">
        <v>1016.7</v>
      </c>
    </row>
    <row r="89" spans="1:21" x14ac:dyDescent="0.5">
      <c r="A89" s="3">
        <v>43369</v>
      </c>
      <c r="B89">
        <v>7.8</v>
      </c>
      <c r="C89">
        <v>30</v>
      </c>
      <c r="D89">
        <v>0</v>
      </c>
      <c r="G89" t="s">
        <v>57</v>
      </c>
      <c r="H89">
        <v>31</v>
      </c>
      <c r="I89" s="4">
        <v>0.62986111111111109</v>
      </c>
      <c r="J89">
        <v>22.4</v>
      </c>
      <c r="K89">
        <v>13</v>
      </c>
      <c r="M89" t="s">
        <v>50</v>
      </c>
      <c r="N89">
        <v>15</v>
      </c>
      <c r="O89">
        <v>1019.3</v>
      </c>
      <c r="P89">
        <v>29.2</v>
      </c>
      <c r="Q89">
        <v>9</v>
      </c>
      <c r="S89" t="s">
        <v>50</v>
      </c>
      <c r="T89">
        <v>11</v>
      </c>
      <c r="U89">
        <v>1014.7</v>
      </c>
    </row>
    <row r="90" spans="1:21" x14ac:dyDescent="0.5">
      <c r="A90" s="3">
        <v>43370</v>
      </c>
      <c r="B90">
        <v>7.3</v>
      </c>
      <c r="C90">
        <v>32.700000000000003</v>
      </c>
      <c r="D90">
        <v>0</v>
      </c>
      <c r="G90" t="s">
        <v>50</v>
      </c>
      <c r="H90">
        <v>30</v>
      </c>
      <c r="I90" s="4">
        <v>0.63194444444444442</v>
      </c>
      <c r="J90">
        <v>24.8</v>
      </c>
      <c r="K90">
        <v>8</v>
      </c>
      <c r="M90" t="s">
        <v>60</v>
      </c>
      <c r="N90">
        <v>17</v>
      </c>
      <c r="O90">
        <v>1018.6</v>
      </c>
      <c r="P90">
        <v>31.6</v>
      </c>
      <c r="Q90">
        <v>5</v>
      </c>
      <c r="S90" t="s">
        <v>57</v>
      </c>
      <c r="T90">
        <v>19</v>
      </c>
      <c r="U90">
        <v>1013.8</v>
      </c>
    </row>
    <row r="91" spans="1:21" x14ac:dyDescent="0.5">
      <c r="A91" s="3">
        <v>43371</v>
      </c>
      <c r="B91">
        <v>9.1</v>
      </c>
      <c r="C91">
        <v>35.200000000000003</v>
      </c>
      <c r="D91">
        <v>0</v>
      </c>
      <c r="G91" t="s">
        <v>15</v>
      </c>
      <c r="H91">
        <v>39</v>
      </c>
      <c r="I91" s="4">
        <v>0.52430555555555558</v>
      </c>
      <c r="J91">
        <v>26.8</v>
      </c>
      <c r="K91">
        <v>6</v>
      </c>
      <c r="M91" t="s">
        <v>60</v>
      </c>
      <c r="N91">
        <v>22</v>
      </c>
      <c r="O91">
        <v>1017</v>
      </c>
      <c r="P91">
        <v>33.700000000000003</v>
      </c>
      <c r="Q91">
        <v>5</v>
      </c>
      <c r="S91" t="s">
        <v>14</v>
      </c>
      <c r="T91">
        <v>15</v>
      </c>
      <c r="U91">
        <v>1012.4</v>
      </c>
    </row>
    <row r="92" spans="1:21" x14ac:dyDescent="0.5">
      <c r="A92" s="3">
        <v>43372</v>
      </c>
      <c r="B92">
        <v>14</v>
      </c>
      <c r="C92">
        <v>29.1</v>
      </c>
      <c r="D92">
        <v>0</v>
      </c>
      <c r="J92">
        <v>19.7</v>
      </c>
      <c r="K92">
        <v>32</v>
      </c>
      <c r="M92" t="s">
        <v>58</v>
      </c>
      <c r="N92">
        <v>28</v>
      </c>
      <c r="O92">
        <v>1021.7</v>
      </c>
      <c r="P92">
        <v>27.5</v>
      </c>
      <c r="Q92">
        <v>17</v>
      </c>
      <c r="S92" t="s">
        <v>58</v>
      </c>
      <c r="T92">
        <v>17</v>
      </c>
      <c r="U92">
        <v>1017.1</v>
      </c>
    </row>
    <row r="93" spans="1:21" x14ac:dyDescent="0.5">
      <c r="A93" s="3">
        <v>43373</v>
      </c>
      <c r="B93">
        <v>12.5</v>
      </c>
      <c r="C93">
        <v>33.200000000000003</v>
      </c>
      <c r="D93">
        <v>0</v>
      </c>
      <c r="G93" t="s">
        <v>61</v>
      </c>
      <c r="H93">
        <v>44</v>
      </c>
      <c r="I93" s="4">
        <v>0.46597222222222223</v>
      </c>
      <c r="J93">
        <v>20.9</v>
      </c>
      <c r="K93">
        <v>28</v>
      </c>
      <c r="M93" t="s">
        <v>61</v>
      </c>
      <c r="N93">
        <v>33</v>
      </c>
      <c r="O93">
        <v>1021.1</v>
      </c>
      <c r="P93">
        <v>32.1</v>
      </c>
      <c r="Q93">
        <v>12</v>
      </c>
      <c r="S93" t="s">
        <v>61</v>
      </c>
      <c r="T93">
        <v>17</v>
      </c>
      <c r="U93">
        <v>1015.5</v>
      </c>
    </row>
    <row r="94" spans="1:21" x14ac:dyDescent="0.5">
      <c r="A94" s="3">
        <v>43374</v>
      </c>
      <c r="B94">
        <v>16.899999999999999</v>
      </c>
      <c r="C94">
        <v>36</v>
      </c>
      <c r="D94">
        <v>0</v>
      </c>
      <c r="E94">
        <v>8.1999999999999993</v>
      </c>
      <c r="G94" t="s">
        <v>16</v>
      </c>
      <c r="H94">
        <v>50</v>
      </c>
      <c r="I94" s="4">
        <v>0.49444444444444446</v>
      </c>
      <c r="J94">
        <v>27.7</v>
      </c>
      <c r="K94">
        <v>14</v>
      </c>
      <c r="M94" t="s">
        <v>60</v>
      </c>
      <c r="N94">
        <v>26</v>
      </c>
      <c r="O94">
        <v>1017.5</v>
      </c>
      <c r="P94">
        <v>33.799999999999997</v>
      </c>
      <c r="Q94">
        <v>11</v>
      </c>
      <c r="R94">
        <v>6</v>
      </c>
      <c r="S94" t="s">
        <v>17</v>
      </c>
      <c r="T94">
        <v>17</v>
      </c>
      <c r="U94">
        <v>1012.3</v>
      </c>
    </row>
    <row r="95" spans="1:21" x14ac:dyDescent="0.5">
      <c r="A95" s="3">
        <v>43375</v>
      </c>
      <c r="B95">
        <v>18.5</v>
      </c>
      <c r="C95">
        <v>36.4</v>
      </c>
      <c r="D95">
        <v>0</v>
      </c>
      <c r="E95">
        <v>11.6</v>
      </c>
      <c r="J95">
        <v>24.3</v>
      </c>
      <c r="K95">
        <v>18</v>
      </c>
      <c r="L95">
        <v>1</v>
      </c>
      <c r="M95" t="s">
        <v>54</v>
      </c>
      <c r="N95">
        <v>9</v>
      </c>
      <c r="O95">
        <v>1017</v>
      </c>
      <c r="P95">
        <v>34.9</v>
      </c>
      <c r="Q95">
        <v>12</v>
      </c>
      <c r="R95">
        <v>7</v>
      </c>
      <c r="S95" t="s">
        <v>17</v>
      </c>
      <c r="T95">
        <v>17</v>
      </c>
      <c r="U95">
        <v>1011.7</v>
      </c>
    </row>
    <row r="96" spans="1:21" x14ac:dyDescent="0.5">
      <c r="A96" s="3">
        <v>43376</v>
      </c>
      <c r="B96">
        <v>17.7</v>
      </c>
      <c r="C96">
        <v>34.299999999999997</v>
      </c>
      <c r="D96">
        <v>0</v>
      </c>
      <c r="E96">
        <v>7.2</v>
      </c>
      <c r="G96" t="s">
        <v>57</v>
      </c>
      <c r="H96">
        <v>52</v>
      </c>
      <c r="I96" s="4">
        <v>0.61944444444444446</v>
      </c>
      <c r="J96">
        <v>28</v>
      </c>
      <c r="K96">
        <v>12</v>
      </c>
      <c r="L96">
        <v>1</v>
      </c>
      <c r="M96" t="s">
        <v>58</v>
      </c>
      <c r="N96">
        <v>13</v>
      </c>
      <c r="O96">
        <v>1015.6</v>
      </c>
      <c r="P96">
        <v>31.9</v>
      </c>
      <c r="Q96">
        <v>22</v>
      </c>
      <c r="S96" t="s">
        <v>57</v>
      </c>
      <c r="T96">
        <v>31</v>
      </c>
      <c r="U96">
        <v>1014</v>
      </c>
    </row>
    <row r="97" spans="1:21" x14ac:dyDescent="0.5">
      <c r="A97" s="3">
        <v>43377</v>
      </c>
      <c r="B97">
        <v>14.8</v>
      </c>
      <c r="C97">
        <v>28.2</v>
      </c>
      <c r="D97">
        <v>0</v>
      </c>
      <c r="E97">
        <v>15.2</v>
      </c>
      <c r="G97" t="s">
        <v>50</v>
      </c>
      <c r="H97">
        <v>41</v>
      </c>
      <c r="I97" s="4">
        <v>0.37638888888888888</v>
      </c>
      <c r="J97">
        <v>19.8</v>
      </c>
      <c r="K97">
        <v>55</v>
      </c>
      <c r="M97" t="s">
        <v>50</v>
      </c>
      <c r="N97">
        <v>26</v>
      </c>
      <c r="O97">
        <v>1020.7</v>
      </c>
      <c r="P97">
        <v>27.6</v>
      </c>
      <c r="Q97">
        <v>23</v>
      </c>
      <c r="S97" t="s">
        <v>56</v>
      </c>
      <c r="T97">
        <v>22</v>
      </c>
      <c r="U97">
        <v>1015.7</v>
      </c>
    </row>
    <row r="98" spans="1:21" x14ac:dyDescent="0.5">
      <c r="A98" s="3">
        <v>43378</v>
      </c>
      <c r="B98">
        <v>12.5</v>
      </c>
      <c r="C98">
        <v>29.9</v>
      </c>
      <c r="D98">
        <v>0</v>
      </c>
      <c r="E98">
        <v>9.8000000000000007</v>
      </c>
      <c r="G98" t="s">
        <v>61</v>
      </c>
      <c r="H98">
        <v>37</v>
      </c>
      <c r="I98" s="4">
        <v>0.36805555555555558</v>
      </c>
      <c r="J98">
        <v>20.100000000000001</v>
      </c>
      <c r="K98">
        <v>31</v>
      </c>
      <c r="M98" t="s">
        <v>61</v>
      </c>
      <c r="N98">
        <v>28</v>
      </c>
      <c r="O98">
        <v>1019.7</v>
      </c>
      <c r="P98">
        <v>28.8</v>
      </c>
      <c r="Q98">
        <v>15</v>
      </c>
      <c r="S98" t="s">
        <v>50</v>
      </c>
      <c r="T98">
        <v>17</v>
      </c>
      <c r="U98">
        <v>1013.8</v>
      </c>
    </row>
    <row r="99" spans="1:21" x14ac:dyDescent="0.5">
      <c r="A99" s="3">
        <v>43379</v>
      </c>
      <c r="B99">
        <v>15.3</v>
      </c>
      <c r="C99">
        <v>33.200000000000003</v>
      </c>
      <c r="D99">
        <v>0</v>
      </c>
      <c r="G99" t="s">
        <v>56</v>
      </c>
      <c r="H99">
        <v>31</v>
      </c>
      <c r="I99" s="4">
        <v>0.625</v>
      </c>
      <c r="J99">
        <v>21.1</v>
      </c>
      <c r="K99">
        <v>29</v>
      </c>
      <c r="L99">
        <v>8</v>
      </c>
      <c r="M99" t="s">
        <v>60</v>
      </c>
      <c r="N99">
        <v>19</v>
      </c>
      <c r="O99">
        <v>1016.8</v>
      </c>
      <c r="P99">
        <v>32.200000000000003</v>
      </c>
      <c r="Q99">
        <v>13</v>
      </c>
      <c r="R99">
        <v>1</v>
      </c>
      <c r="S99" t="s">
        <v>56</v>
      </c>
      <c r="T99">
        <v>15</v>
      </c>
      <c r="U99">
        <v>1012.4</v>
      </c>
    </row>
    <row r="100" spans="1:21" x14ac:dyDescent="0.5">
      <c r="A100" s="3">
        <v>43380</v>
      </c>
      <c r="B100">
        <v>14</v>
      </c>
      <c r="C100">
        <v>37.700000000000003</v>
      </c>
      <c r="D100">
        <v>0</v>
      </c>
      <c r="G100" t="s">
        <v>15</v>
      </c>
      <c r="H100">
        <v>35</v>
      </c>
      <c r="I100" s="4">
        <v>0.47222222222222227</v>
      </c>
      <c r="J100">
        <v>28.6</v>
      </c>
      <c r="K100">
        <v>18</v>
      </c>
      <c r="M100" t="s">
        <v>16</v>
      </c>
      <c r="N100">
        <v>13</v>
      </c>
      <c r="O100">
        <v>1015.2</v>
      </c>
      <c r="P100">
        <v>36.1</v>
      </c>
      <c r="Q100">
        <v>11</v>
      </c>
      <c r="R100">
        <v>8</v>
      </c>
      <c r="S100" t="s">
        <v>15</v>
      </c>
      <c r="T100">
        <v>11</v>
      </c>
      <c r="U100">
        <v>1010.4</v>
      </c>
    </row>
    <row r="101" spans="1:21" x14ac:dyDescent="0.5">
      <c r="A101" s="3">
        <v>43381</v>
      </c>
      <c r="B101">
        <v>21.4</v>
      </c>
      <c r="C101">
        <v>34.799999999999997</v>
      </c>
      <c r="D101">
        <v>0</v>
      </c>
      <c r="J101">
        <v>30.1</v>
      </c>
      <c r="K101">
        <v>14</v>
      </c>
      <c r="M101" t="s">
        <v>14</v>
      </c>
      <c r="N101">
        <v>26</v>
      </c>
      <c r="O101">
        <v>1013.7</v>
      </c>
      <c r="P101">
        <v>30.6</v>
      </c>
      <c r="Q101">
        <v>16</v>
      </c>
      <c r="R101">
        <v>5</v>
      </c>
      <c r="S101" t="s">
        <v>55</v>
      </c>
      <c r="T101">
        <v>37</v>
      </c>
      <c r="U101">
        <v>1012.8</v>
      </c>
    </row>
    <row r="102" spans="1:21" x14ac:dyDescent="0.5">
      <c r="A102" s="3">
        <v>43382</v>
      </c>
      <c r="B102">
        <v>21.8</v>
      </c>
      <c r="D102">
        <v>0</v>
      </c>
      <c r="E102">
        <v>14.6</v>
      </c>
      <c r="J102">
        <v>27.7</v>
      </c>
      <c r="K102">
        <v>29</v>
      </c>
      <c r="L102">
        <v>7</v>
      </c>
      <c r="M102" t="s">
        <v>18</v>
      </c>
      <c r="N102">
        <v>4</v>
      </c>
      <c r="O102">
        <v>1013.8</v>
      </c>
      <c r="P102">
        <v>33</v>
      </c>
      <c r="Q102">
        <v>22</v>
      </c>
      <c r="U102">
        <v>1008.8</v>
      </c>
    </row>
    <row r="103" spans="1:21" x14ac:dyDescent="0.5">
      <c r="A103" s="3">
        <v>43383</v>
      </c>
      <c r="B103">
        <v>14.4</v>
      </c>
      <c r="C103">
        <v>30.8</v>
      </c>
      <c r="D103">
        <v>0.6</v>
      </c>
      <c r="E103">
        <v>5.8</v>
      </c>
      <c r="G103" t="s">
        <v>50</v>
      </c>
      <c r="H103">
        <v>33</v>
      </c>
      <c r="I103" s="4">
        <v>0.42777777777777781</v>
      </c>
      <c r="J103">
        <v>21.1</v>
      </c>
      <c r="K103">
        <v>47</v>
      </c>
      <c r="L103">
        <v>2</v>
      </c>
      <c r="M103" t="s">
        <v>50</v>
      </c>
      <c r="N103">
        <v>24</v>
      </c>
      <c r="O103">
        <v>1016.8</v>
      </c>
      <c r="P103">
        <v>29.1</v>
      </c>
      <c r="Q103">
        <v>26</v>
      </c>
      <c r="S103" t="s">
        <v>58</v>
      </c>
      <c r="T103">
        <v>13</v>
      </c>
      <c r="U103">
        <v>1012.5</v>
      </c>
    </row>
    <row r="104" spans="1:21" x14ac:dyDescent="0.5">
      <c r="A104" s="3">
        <v>43384</v>
      </c>
      <c r="B104">
        <v>18.899999999999999</v>
      </c>
      <c r="C104">
        <v>29.4</v>
      </c>
      <c r="D104">
        <v>0</v>
      </c>
      <c r="E104">
        <v>11</v>
      </c>
      <c r="G104" t="s">
        <v>53</v>
      </c>
      <c r="H104">
        <v>50</v>
      </c>
      <c r="I104" s="4">
        <v>0.76250000000000007</v>
      </c>
      <c r="J104">
        <v>22.9</v>
      </c>
      <c r="K104">
        <v>37</v>
      </c>
      <c r="M104" t="s">
        <v>61</v>
      </c>
      <c r="N104">
        <v>17</v>
      </c>
      <c r="O104">
        <v>1016.7</v>
      </c>
      <c r="P104">
        <v>28.5</v>
      </c>
      <c r="Q104">
        <v>28</v>
      </c>
      <c r="R104">
        <v>8</v>
      </c>
      <c r="S104" t="s">
        <v>14</v>
      </c>
      <c r="T104">
        <v>15</v>
      </c>
      <c r="U104">
        <v>1012.4</v>
      </c>
    </row>
    <row r="105" spans="1:21" x14ac:dyDescent="0.5">
      <c r="A105" s="3">
        <v>43385</v>
      </c>
      <c r="B105">
        <v>16.399999999999999</v>
      </c>
      <c r="C105">
        <v>31</v>
      </c>
      <c r="D105">
        <v>11.8</v>
      </c>
      <c r="E105">
        <v>4.5999999999999996</v>
      </c>
      <c r="G105" t="s">
        <v>54</v>
      </c>
      <c r="H105">
        <v>54</v>
      </c>
      <c r="I105" s="4">
        <v>0.92569444444444438</v>
      </c>
      <c r="J105">
        <v>23</v>
      </c>
      <c r="K105">
        <v>55</v>
      </c>
      <c r="L105">
        <v>2</v>
      </c>
      <c r="M105" t="s">
        <v>17</v>
      </c>
      <c r="N105">
        <v>26</v>
      </c>
      <c r="O105">
        <v>1014.2</v>
      </c>
      <c r="P105">
        <v>30.1</v>
      </c>
      <c r="Q105">
        <v>27</v>
      </c>
      <c r="R105">
        <v>8</v>
      </c>
      <c r="S105" t="s">
        <v>18</v>
      </c>
      <c r="T105">
        <v>20</v>
      </c>
      <c r="U105">
        <v>1010.1</v>
      </c>
    </row>
    <row r="106" spans="1:21" x14ac:dyDescent="0.5">
      <c r="A106" s="3">
        <v>43386</v>
      </c>
      <c r="B106">
        <v>15.8</v>
      </c>
      <c r="C106">
        <v>34.6</v>
      </c>
      <c r="D106">
        <v>0.4</v>
      </c>
      <c r="G106" t="s">
        <v>17</v>
      </c>
      <c r="H106">
        <v>41</v>
      </c>
      <c r="I106" s="4">
        <v>0.4694444444444445</v>
      </c>
      <c r="J106">
        <v>24.5</v>
      </c>
      <c r="K106">
        <v>45</v>
      </c>
      <c r="M106" t="s">
        <v>15</v>
      </c>
      <c r="N106">
        <v>17</v>
      </c>
      <c r="O106">
        <v>1011.9</v>
      </c>
      <c r="P106">
        <v>33.5</v>
      </c>
      <c r="Q106">
        <v>21</v>
      </c>
      <c r="S106" t="s">
        <v>18</v>
      </c>
      <c r="T106">
        <v>22</v>
      </c>
      <c r="U106">
        <v>1007</v>
      </c>
    </row>
    <row r="107" spans="1:21" x14ac:dyDescent="0.5">
      <c r="A107" s="3">
        <v>43387</v>
      </c>
      <c r="B107">
        <v>21.5</v>
      </c>
      <c r="C107">
        <v>38.5</v>
      </c>
      <c r="D107">
        <v>0.2</v>
      </c>
      <c r="G107" t="s">
        <v>18</v>
      </c>
      <c r="H107">
        <v>57</v>
      </c>
      <c r="I107" s="4">
        <v>0.60416666666666663</v>
      </c>
      <c r="J107">
        <v>32.200000000000003</v>
      </c>
      <c r="K107">
        <v>23</v>
      </c>
      <c r="M107" t="s">
        <v>17</v>
      </c>
      <c r="N107">
        <v>28</v>
      </c>
      <c r="O107">
        <v>1008.5</v>
      </c>
      <c r="P107">
        <v>37.5</v>
      </c>
      <c r="Q107">
        <v>12</v>
      </c>
      <c r="S107" t="s">
        <v>19</v>
      </c>
      <c r="T107">
        <v>28</v>
      </c>
      <c r="U107">
        <v>1004.5</v>
      </c>
    </row>
    <row r="108" spans="1:21" x14ac:dyDescent="0.5">
      <c r="A108" s="3">
        <v>43388</v>
      </c>
      <c r="B108">
        <v>21.9</v>
      </c>
      <c r="C108">
        <v>31.5</v>
      </c>
      <c r="D108">
        <v>0</v>
      </c>
      <c r="G108" t="s">
        <v>54</v>
      </c>
      <c r="H108">
        <v>41</v>
      </c>
      <c r="I108" s="4">
        <v>0.27777777777777779</v>
      </c>
      <c r="J108">
        <v>23.7</v>
      </c>
      <c r="K108">
        <v>31</v>
      </c>
      <c r="L108">
        <v>7</v>
      </c>
      <c r="M108" t="s">
        <v>55</v>
      </c>
      <c r="N108">
        <v>22</v>
      </c>
      <c r="O108">
        <v>1013</v>
      </c>
      <c r="P108">
        <v>30.1</v>
      </c>
      <c r="Q108">
        <v>16</v>
      </c>
      <c r="S108" t="s">
        <v>54</v>
      </c>
      <c r="T108">
        <v>11</v>
      </c>
      <c r="U108">
        <v>1010.2</v>
      </c>
    </row>
    <row r="109" spans="1:21" x14ac:dyDescent="0.5">
      <c r="A109" s="3">
        <v>43389</v>
      </c>
      <c r="B109">
        <v>14.7</v>
      </c>
      <c r="C109">
        <v>28.1</v>
      </c>
      <c r="D109">
        <v>0</v>
      </c>
      <c r="E109">
        <v>12.6</v>
      </c>
      <c r="G109" t="s">
        <v>57</v>
      </c>
      <c r="H109">
        <v>44</v>
      </c>
      <c r="I109" s="4">
        <v>0.33680555555555558</v>
      </c>
      <c r="J109">
        <v>21.1</v>
      </c>
      <c r="K109">
        <v>37</v>
      </c>
      <c r="M109" t="s">
        <v>50</v>
      </c>
      <c r="N109">
        <v>28</v>
      </c>
      <c r="O109">
        <v>1018.9</v>
      </c>
      <c r="P109">
        <v>26.7</v>
      </c>
      <c r="Q109">
        <v>24</v>
      </c>
      <c r="S109" t="s">
        <v>57</v>
      </c>
      <c r="T109">
        <v>20</v>
      </c>
      <c r="U109">
        <v>1014.6</v>
      </c>
    </row>
    <row r="110" spans="1:21" x14ac:dyDescent="0.5">
      <c r="A110" s="3">
        <v>43390</v>
      </c>
      <c r="B110">
        <v>11</v>
      </c>
      <c r="C110">
        <v>29.8</v>
      </c>
      <c r="D110">
        <v>0</v>
      </c>
      <c r="E110">
        <v>10.199999999999999</v>
      </c>
      <c r="G110" t="s">
        <v>58</v>
      </c>
      <c r="H110">
        <v>41</v>
      </c>
      <c r="I110" s="4">
        <v>0.36180555555555555</v>
      </c>
      <c r="J110">
        <v>22</v>
      </c>
      <c r="K110">
        <v>24</v>
      </c>
      <c r="M110" t="s">
        <v>58</v>
      </c>
      <c r="N110">
        <v>28</v>
      </c>
      <c r="O110">
        <v>1019.2</v>
      </c>
      <c r="P110">
        <v>28.1</v>
      </c>
      <c r="Q110">
        <v>14</v>
      </c>
      <c r="S110" t="s">
        <v>56</v>
      </c>
      <c r="T110">
        <v>15</v>
      </c>
      <c r="U110">
        <v>1013.6</v>
      </c>
    </row>
    <row r="111" spans="1:21" x14ac:dyDescent="0.5">
      <c r="A111" s="3">
        <v>43391</v>
      </c>
      <c r="B111">
        <v>12.3</v>
      </c>
      <c r="C111">
        <v>34.9</v>
      </c>
      <c r="D111">
        <v>0</v>
      </c>
      <c r="E111">
        <v>4.5999999999999996</v>
      </c>
      <c r="G111" t="s">
        <v>15</v>
      </c>
      <c r="H111">
        <v>41</v>
      </c>
      <c r="I111" s="4">
        <v>0.60902777777777783</v>
      </c>
      <c r="J111">
        <v>25.2</v>
      </c>
      <c r="K111">
        <v>17</v>
      </c>
      <c r="M111" t="s">
        <v>60</v>
      </c>
      <c r="N111">
        <v>20</v>
      </c>
      <c r="O111">
        <v>1016</v>
      </c>
      <c r="P111">
        <v>33.5</v>
      </c>
      <c r="Q111">
        <v>13</v>
      </c>
      <c r="S111" t="s">
        <v>53</v>
      </c>
      <c r="T111">
        <v>11</v>
      </c>
      <c r="U111">
        <v>1010.2</v>
      </c>
    </row>
    <row r="112" spans="1:21" x14ac:dyDescent="0.5">
      <c r="A112" s="3">
        <v>43392</v>
      </c>
      <c r="B112">
        <v>22.3</v>
      </c>
      <c r="C112">
        <v>37.5</v>
      </c>
      <c r="D112">
        <v>0</v>
      </c>
      <c r="E112">
        <v>6.6</v>
      </c>
      <c r="G112" t="s">
        <v>17</v>
      </c>
      <c r="H112">
        <v>59</v>
      </c>
      <c r="I112" s="4">
        <v>0.58402777777777781</v>
      </c>
      <c r="J112">
        <v>29.7</v>
      </c>
      <c r="K112">
        <v>12</v>
      </c>
      <c r="L112">
        <v>7</v>
      </c>
      <c r="M112" t="s">
        <v>15</v>
      </c>
      <c r="N112">
        <v>39</v>
      </c>
      <c r="O112">
        <v>1012.9</v>
      </c>
      <c r="P112">
        <v>36.299999999999997</v>
      </c>
      <c r="Q112">
        <v>13</v>
      </c>
      <c r="R112">
        <v>7</v>
      </c>
      <c r="S112" t="s">
        <v>17</v>
      </c>
      <c r="T112">
        <v>31</v>
      </c>
      <c r="U112">
        <v>1008.4</v>
      </c>
    </row>
    <row r="113" spans="1:21" x14ac:dyDescent="0.5">
      <c r="A113" s="3">
        <v>43393</v>
      </c>
      <c r="B113">
        <v>18.5</v>
      </c>
      <c r="C113">
        <v>28.9</v>
      </c>
      <c r="D113">
        <v>0</v>
      </c>
      <c r="G113" t="s">
        <v>57</v>
      </c>
      <c r="H113">
        <v>52</v>
      </c>
      <c r="I113" s="4">
        <v>0.24305555555555555</v>
      </c>
      <c r="J113">
        <v>20.3</v>
      </c>
      <c r="K113">
        <v>45</v>
      </c>
      <c r="M113" t="s">
        <v>57</v>
      </c>
      <c r="N113">
        <v>26</v>
      </c>
      <c r="O113">
        <v>1019.4</v>
      </c>
      <c r="P113">
        <v>27.9</v>
      </c>
      <c r="Q113">
        <v>20</v>
      </c>
      <c r="S113" t="s">
        <v>50</v>
      </c>
      <c r="T113">
        <v>20</v>
      </c>
      <c r="U113">
        <v>1014.5</v>
      </c>
    </row>
    <row r="114" spans="1:21" x14ac:dyDescent="0.5">
      <c r="A114" s="3">
        <v>43394</v>
      </c>
      <c r="B114">
        <v>10.1</v>
      </c>
      <c r="C114">
        <v>32.1</v>
      </c>
      <c r="D114">
        <v>0</v>
      </c>
      <c r="G114" t="s">
        <v>58</v>
      </c>
      <c r="H114">
        <v>33</v>
      </c>
      <c r="I114" s="4">
        <v>0.34027777777777773</v>
      </c>
      <c r="J114">
        <v>21.2</v>
      </c>
      <c r="K114">
        <v>22</v>
      </c>
      <c r="M114" t="s">
        <v>50</v>
      </c>
      <c r="N114">
        <v>22</v>
      </c>
      <c r="O114">
        <v>1018.2</v>
      </c>
      <c r="P114">
        <v>31</v>
      </c>
      <c r="Q114">
        <v>12</v>
      </c>
      <c r="S114" t="s">
        <v>57</v>
      </c>
      <c r="T114">
        <v>9</v>
      </c>
      <c r="U114">
        <v>1012</v>
      </c>
    </row>
    <row r="115" spans="1:21" x14ac:dyDescent="0.5">
      <c r="A115" s="3">
        <v>43395</v>
      </c>
      <c r="B115">
        <v>13.5</v>
      </c>
      <c r="C115">
        <v>38</v>
      </c>
      <c r="D115">
        <v>0</v>
      </c>
      <c r="G115" t="s">
        <v>59</v>
      </c>
      <c r="H115">
        <v>37</v>
      </c>
      <c r="I115" s="4">
        <v>0.75277777777777777</v>
      </c>
      <c r="J115">
        <v>30.9</v>
      </c>
      <c r="K115">
        <v>11</v>
      </c>
      <c r="M115" t="s">
        <v>16</v>
      </c>
      <c r="N115">
        <v>6</v>
      </c>
      <c r="O115">
        <v>1013.1</v>
      </c>
      <c r="P115">
        <v>36.6</v>
      </c>
      <c r="Q115">
        <v>9</v>
      </c>
      <c r="R115">
        <v>4</v>
      </c>
      <c r="S115" t="s">
        <v>18</v>
      </c>
      <c r="T115">
        <v>20</v>
      </c>
      <c r="U115">
        <v>1008.2</v>
      </c>
    </row>
    <row r="116" spans="1:21" x14ac:dyDescent="0.5">
      <c r="A116" s="3">
        <v>43396</v>
      </c>
      <c r="B116">
        <v>17.399999999999999</v>
      </c>
      <c r="C116">
        <v>38.5</v>
      </c>
      <c r="D116">
        <v>0</v>
      </c>
      <c r="E116">
        <v>11.8</v>
      </c>
      <c r="G116" t="s">
        <v>50</v>
      </c>
      <c r="H116">
        <v>43</v>
      </c>
      <c r="I116" s="4">
        <v>0.71111111111111114</v>
      </c>
      <c r="J116">
        <v>32.700000000000003</v>
      </c>
      <c r="K116">
        <v>7</v>
      </c>
      <c r="M116" t="s">
        <v>14</v>
      </c>
      <c r="N116">
        <v>28</v>
      </c>
      <c r="O116">
        <v>1011.4</v>
      </c>
      <c r="P116">
        <v>38</v>
      </c>
      <c r="Q116">
        <v>6</v>
      </c>
      <c r="S116" t="s">
        <v>60</v>
      </c>
      <c r="T116">
        <v>24</v>
      </c>
      <c r="U116">
        <v>1008.2</v>
      </c>
    </row>
    <row r="117" spans="1:21" x14ac:dyDescent="0.5">
      <c r="A117" s="3">
        <v>43397</v>
      </c>
      <c r="B117">
        <v>18.100000000000001</v>
      </c>
      <c r="C117">
        <v>39</v>
      </c>
      <c r="D117">
        <v>0</v>
      </c>
      <c r="E117">
        <v>15.6</v>
      </c>
      <c r="G117" t="s">
        <v>14</v>
      </c>
      <c r="H117">
        <v>37</v>
      </c>
      <c r="I117" s="4">
        <v>0.60138888888888886</v>
      </c>
      <c r="J117">
        <v>26</v>
      </c>
      <c r="K117">
        <v>18</v>
      </c>
      <c r="L117">
        <v>6</v>
      </c>
      <c r="M117" t="s">
        <v>58</v>
      </c>
      <c r="N117">
        <v>20</v>
      </c>
      <c r="O117">
        <v>1014.5</v>
      </c>
      <c r="P117">
        <v>37.4</v>
      </c>
      <c r="Q117">
        <v>6</v>
      </c>
      <c r="R117">
        <v>1</v>
      </c>
      <c r="S117" t="s">
        <v>15</v>
      </c>
      <c r="T117">
        <v>15</v>
      </c>
      <c r="U117">
        <v>1008.6</v>
      </c>
    </row>
    <row r="118" spans="1:21" x14ac:dyDescent="0.5">
      <c r="A118" s="3">
        <v>43398</v>
      </c>
      <c r="B118">
        <v>20</v>
      </c>
      <c r="C118">
        <v>41.8</v>
      </c>
      <c r="D118">
        <v>0</v>
      </c>
      <c r="E118">
        <v>12.4</v>
      </c>
      <c r="G118" t="s">
        <v>17</v>
      </c>
      <c r="H118">
        <v>59</v>
      </c>
      <c r="I118" s="4">
        <v>0.72499999999999998</v>
      </c>
      <c r="J118">
        <v>32.200000000000003</v>
      </c>
      <c r="K118">
        <v>8</v>
      </c>
      <c r="M118" t="s">
        <v>17</v>
      </c>
      <c r="N118">
        <v>9</v>
      </c>
      <c r="O118">
        <v>1012.7</v>
      </c>
      <c r="P118">
        <v>40.200000000000003</v>
      </c>
      <c r="Q118">
        <v>6</v>
      </c>
      <c r="R118">
        <v>1</v>
      </c>
      <c r="S118" t="s">
        <v>16</v>
      </c>
      <c r="T118">
        <v>20</v>
      </c>
      <c r="U118">
        <v>1008.5</v>
      </c>
    </row>
    <row r="119" spans="1:21" x14ac:dyDescent="0.5">
      <c r="A119" s="3">
        <v>43399</v>
      </c>
      <c r="B119">
        <v>20.399999999999999</v>
      </c>
      <c r="C119">
        <v>40.700000000000003</v>
      </c>
      <c r="D119">
        <v>0</v>
      </c>
      <c r="E119">
        <v>12.6</v>
      </c>
      <c r="G119" t="s">
        <v>53</v>
      </c>
      <c r="H119">
        <v>54</v>
      </c>
      <c r="I119" s="4">
        <v>0.93888888888888899</v>
      </c>
      <c r="J119">
        <v>30.6</v>
      </c>
      <c r="K119">
        <v>11</v>
      </c>
      <c r="M119" t="s">
        <v>56</v>
      </c>
      <c r="N119">
        <v>11</v>
      </c>
      <c r="O119">
        <v>1014.3</v>
      </c>
      <c r="P119">
        <v>39.700000000000003</v>
      </c>
      <c r="Q119">
        <v>9</v>
      </c>
      <c r="R119">
        <v>6</v>
      </c>
      <c r="S119" t="s">
        <v>17</v>
      </c>
      <c r="T119">
        <v>9</v>
      </c>
      <c r="U119">
        <v>1009.3</v>
      </c>
    </row>
    <row r="120" spans="1:21" x14ac:dyDescent="0.5">
      <c r="A120" s="3">
        <v>43400</v>
      </c>
      <c r="B120">
        <v>19.2</v>
      </c>
      <c r="C120">
        <v>26.8</v>
      </c>
      <c r="D120">
        <v>1.4</v>
      </c>
      <c r="G120" t="s">
        <v>19</v>
      </c>
      <c r="H120">
        <v>56</v>
      </c>
      <c r="I120" s="4">
        <v>1.1111111111111112E-2</v>
      </c>
      <c r="J120">
        <v>19.8</v>
      </c>
      <c r="K120">
        <v>87</v>
      </c>
      <c r="L120">
        <v>8</v>
      </c>
      <c r="M120" t="s">
        <v>53</v>
      </c>
      <c r="N120">
        <v>24</v>
      </c>
      <c r="O120">
        <v>1016.7</v>
      </c>
      <c r="P120">
        <v>25.7</v>
      </c>
      <c r="Q120">
        <v>46</v>
      </c>
      <c r="S120" t="s">
        <v>54</v>
      </c>
      <c r="T120">
        <v>28</v>
      </c>
      <c r="U120">
        <v>1014.3</v>
      </c>
    </row>
    <row r="121" spans="1:21" x14ac:dyDescent="0.5">
      <c r="A121" s="3">
        <v>43401</v>
      </c>
      <c r="B121">
        <v>17.899999999999999</v>
      </c>
      <c r="C121">
        <v>33.200000000000003</v>
      </c>
      <c r="D121">
        <v>1.4</v>
      </c>
      <c r="G121" t="s">
        <v>56</v>
      </c>
      <c r="H121">
        <v>44</v>
      </c>
      <c r="I121" s="4">
        <v>0.80902777777777779</v>
      </c>
      <c r="J121">
        <v>22.3</v>
      </c>
      <c r="K121">
        <v>63</v>
      </c>
      <c r="L121">
        <v>8</v>
      </c>
      <c r="M121" t="s">
        <v>61</v>
      </c>
      <c r="N121">
        <v>11</v>
      </c>
      <c r="O121">
        <v>1013.4</v>
      </c>
      <c r="P121">
        <v>32.200000000000003</v>
      </c>
      <c r="Q121">
        <v>27</v>
      </c>
      <c r="R121">
        <v>8</v>
      </c>
      <c r="S121" t="s">
        <v>18</v>
      </c>
      <c r="T121">
        <v>11</v>
      </c>
      <c r="U121">
        <v>1009.8</v>
      </c>
    </row>
    <row r="122" spans="1:21" x14ac:dyDescent="0.5">
      <c r="A122" s="3">
        <v>43402</v>
      </c>
      <c r="B122">
        <v>18.7</v>
      </c>
      <c r="C122">
        <v>28.4</v>
      </c>
      <c r="D122">
        <v>0.4</v>
      </c>
      <c r="G122" t="s">
        <v>59</v>
      </c>
      <c r="H122">
        <v>52</v>
      </c>
      <c r="I122" s="4">
        <v>0.14861111111111111</v>
      </c>
      <c r="J122">
        <v>21</v>
      </c>
      <c r="K122">
        <v>79</v>
      </c>
      <c r="L122">
        <v>8</v>
      </c>
      <c r="M122" t="s">
        <v>53</v>
      </c>
      <c r="N122">
        <v>13</v>
      </c>
      <c r="O122">
        <v>1016.3</v>
      </c>
      <c r="P122">
        <v>26.4</v>
      </c>
      <c r="Q122">
        <v>43</v>
      </c>
      <c r="R122">
        <v>8</v>
      </c>
      <c r="S122" t="s">
        <v>14</v>
      </c>
      <c r="T122">
        <v>22</v>
      </c>
      <c r="U122">
        <v>1011.3</v>
      </c>
    </row>
    <row r="123" spans="1:21" x14ac:dyDescent="0.5">
      <c r="A123" s="3">
        <v>43403</v>
      </c>
      <c r="B123">
        <v>17.600000000000001</v>
      </c>
      <c r="C123">
        <v>36.4</v>
      </c>
      <c r="D123">
        <v>0.2</v>
      </c>
      <c r="E123">
        <v>7.8</v>
      </c>
      <c r="G123" t="s">
        <v>56</v>
      </c>
      <c r="H123">
        <v>33</v>
      </c>
      <c r="I123" s="4">
        <v>0.70138888888888884</v>
      </c>
      <c r="J123">
        <v>25.1</v>
      </c>
      <c r="K123">
        <v>48</v>
      </c>
      <c r="L123">
        <v>8</v>
      </c>
      <c r="M123" t="s">
        <v>54</v>
      </c>
      <c r="N123">
        <v>9</v>
      </c>
      <c r="O123">
        <v>1015.2</v>
      </c>
      <c r="P123">
        <v>35.299999999999997</v>
      </c>
      <c r="Q123">
        <v>18</v>
      </c>
      <c r="R123">
        <v>7</v>
      </c>
      <c r="S123" t="s">
        <v>57</v>
      </c>
      <c r="T123">
        <v>9</v>
      </c>
      <c r="U123">
        <v>1011.4</v>
      </c>
    </row>
    <row r="124" spans="1:21" x14ac:dyDescent="0.5">
      <c r="A124" s="3">
        <v>43404</v>
      </c>
      <c r="B124">
        <v>25</v>
      </c>
      <c r="C124">
        <v>35.700000000000003</v>
      </c>
      <c r="D124">
        <v>0.2</v>
      </c>
      <c r="E124">
        <v>11.8</v>
      </c>
      <c r="G124" t="s">
        <v>60</v>
      </c>
      <c r="H124">
        <v>35</v>
      </c>
      <c r="I124" s="4">
        <v>0.37638888888888888</v>
      </c>
      <c r="J124">
        <v>31.6</v>
      </c>
      <c r="K124">
        <v>24</v>
      </c>
      <c r="L124">
        <v>8</v>
      </c>
      <c r="M124" t="s">
        <v>60</v>
      </c>
      <c r="N124">
        <v>22</v>
      </c>
      <c r="O124">
        <v>1014.2</v>
      </c>
      <c r="P124">
        <v>34.6</v>
      </c>
      <c r="Q124">
        <v>17</v>
      </c>
      <c r="R124">
        <v>8</v>
      </c>
      <c r="S124" t="s">
        <v>17</v>
      </c>
      <c r="T124">
        <v>13</v>
      </c>
      <c r="U124">
        <v>1011.3</v>
      </c>
    </row>
    <row r="125" spans="1:21" x14ac:dyDescent="0.5">
      <c r="A125" s="3">
        <v>43405</v>
      </c>
      <c r="B125">
        <v>23</v>
      </c>
      <c r="C125">
        <v>39.299999999999997</v>
      </c>
      <c r="D125">
        <v>0</v>
      </c>
      <c r="E125">
        <v>7.2</v>
      </c>
      <c r="G125" t="s">
        <v>53</v>
      </c>
      <c r="H125">
        <v>65</v>
      </c>
      <c r="I125" s="4">
        <v>0.71666666666666667</v>
      </c>
      <c r="J125">
        <v>30</v>
      </c>
      <c r="K125">
        <v>36</v>
      </c>
      <c r="L125">
        <v>8</v>
      </c>
      <c r="M125" t="s">
        <v>61</v>
      </c>
      <c r="N125">
        <v>11</v>
      </c>
      <c r="O125">
        <v>1014</v>
      </c>
      <c r="P125">
        <v>37.1</v>
      </c>
      <c r="Q125">
        <v>20</v>
      </c>
      <c r="R125">
        <v>5</v>
      </c>
      <c r="S125" t="s">
        <v>17</v>
      </c>
      <c r="T125">
        <v>20</v>
      </c>
      <c r="U125">
        <v>1008.9</v>
      </c>
    </row>
    <row r="126" spans="1:21" x14ac:dyDescent="0.5">
      <c r="A126" s="3">
        <v>43406</v>
      </c>
      <c r="B126">
        <v>21.7</v>
      </c>
      <c r="C126">
        <v>37.4</v>
      </c>
      <c r="D126">
        <v>4.2</v>
      </c>
      <c r="E126">
        <v>11.2</v>
      </c>
      <c r="G126" t="s">
        <v>60</v>
      </c>
      <c r="H126">
        <v>30</v>
      </c>
      <c r="I126" s="4">
        <v>4.1666666666666666E-3</v>
      </c>
      <c r="J126">
        <v>27.4</v>
      </c>
      <c r="K126">
        <v>53</v>
      </c>
      <c r="L126">
        <v>8</v>
      </c>
      <c r="M126" t="s">
        <v>18</v>
      </c>
      <c r="N126">
        <v>13</v>
      </c>
      <c r="O126">
        <v>1016.3</v>
      </c>
      <c r="P126">
        <v>36.299999999999997</v>
      </c>
      <c r="Q126">
        <v>20</v>
      </c>
      <c r="S126" t="s">
        <v>61</v>
      </c>
      <c r="T126">
        <v>13</v>
      </c>
      <c r="U126">
        <v>1011.6</v>
      </c>
    </row>
    <row r="127" spans="1:21" x14ac:dyDescent="0.5">
      <c r="A127" s="3">
        <v>43407</v>
      </c>
      <c r="B127">
        <v>21</v>
      </c>
      <c r="C127">
        <v>40.9</v>
      </c>
      <c r="D127">
        <v>0</v>
      </c>
      <c r="G127" t="s">
        <v>60</v>
      </c>
      <c r="H127">
        <v>46</v>
      </c>
      <c r="I127" s="4">
        <v>0.47083333333333338</v>
      </c>
      <c r="J127">
        <v>33</v>
      </c>
      <c r="K127">
        <v>27</v>
      </c>
      <c r="M127" t="s">
        <v>54</v>
      </c>
      <c r="N127">
        <v>7</v>
      </c>
      <c r="O127">
        <v>1014.7</v>
      </c>
      <c r="P127">
        <v>40.700000000000003</v>
      </c>
      <c r="Q127">
        <v>13</v>
      </c>
      <c r="R127">
        <v>6</v>
      </c>
      <c r="S127" t="s">
        <v>61</v>
      </c>
      <c r="T127">
        <v>9</v>
      </c>
      <c r="U127">
        <v>1009.8</v>
      </c>
    </row>
    <row r="128" spans="1:21" x14ac:dyDescent="0.5">
      <c r="A128" s="3">
        <v>43408</v>
      </c>
      <c r="B128">
        <v>25.2</v>
      </c>
      <c r="C128">
        <v>40.6</v>
      </c>
      <c r="D128">
        <v>0</v>
      </c>
      <c r="G128" t="s">
        <v>14</v>
      </c>
      <c r="H128">
        <v>54</v>
      </c>
      <c r="I128" s="4">
        <v>0.63541666666666663</v>
      </c>
      <c r="J128">
        <v>33.200000000000003</v>
      </c>
      <c r="K128">
        <v>28</v>
      </c>
      <c r="M128" t="s">
        <v>60</v>
      </c>
      <c r="N128">
        <v>15</v>
      </c>
      <c r="O128">
        <v>1011.5</v>
      </c>
      <c r="P128">
        <v>40.299999999999997</v>
      </c>
      <c r="Q128">
        <v>15</v>
      </c>
      <c r="R128">
        <v>2</v>
      </c>
      <c r="S128" t="s">
        <v>18</v>
      </c>
      <c r="T128">
        <v>13</v>
      </c>
      <c r="U128">
        <v>1005.1</v>
      </c>
    </row>
    <row r="129" spans="1:21" x14ac:dyDescent="0.5">
      <c r="A129" s="3">
        <v>43409</v>
      </c>
      <c r="B129">
        <v>20.100000000000001</v>
      </c>
      <c r="C129">
        <v>29.3</v>
      </c>
      <c r="D129">
        <v>7.4</v>
      </c>
      <c r="G129" t="s">
        <v>56</v>
      </c>
      <c r="H129">
        <v>57</v>
      </c>
      <c r="I129" s="4">
        <v>0.17569444444444446</v>
      </c>
      <c r="J129">
        <v>20.399999999999999</v>
      </c>
      <c r="K129">
        <v>96</v>
      </c>
      <c r="L129">
        <v>7</v>
      </c>
      <c r="M129" t="s">
        <v>55</v>
      </c>
      <c r="N129">
        <v>13</v>
      </c>
      <c r="O129">
        <v>1012.5</v>
      </c>
      <c r="P129">
        <v>26.1</v>
      </c>
      <c r="Q129">
        <v>63</v>
      </c>
      <c r="R129">
        <v>8</v>
      </c>
      <c r="S129" t="s">
        <v>56</v>
      </c>
      <c r="T129">
        <v>11</v>
      </c>
      <c r="U129">
        <v>1009.2</v>
      </c>
    </row>
    <row r="130" spans="1:21" x14ac:dyDescent="0.5">
      <c r="A130" s="3">
        <v>43410</v>
      </c>
      <c r="B130">
        <v>20.3</v>
      </c>
      <c r="C130">
        <v>38.9</v>
      </c>
      <c r="D130">
        <v>0</v>
      </c>
      <c r="E130">
        <v>4.8</v>
      </c>
      <c r="G130" t="s">
        <v>56</v>
      </c>
      <c r="H130">
        <v>76</v>
      </c>
      <c r="I130" s="4">
        <v>0.89166666666666661</v>
      </c>
      <c r="J130">
        <v>29.3</v>
      </c>
      <c r="K130">
        <v>47</v>
      </c>
      <c r="L130">
        <v>5</v>
      </c>
      <c r="M130" t="s">
        <v>61</v>
      </c>
      <c r="N130">
        <v>11</v>
      </c>
      <c r="O130">
        <v>1009.5</v>
      </c>
      <c r="P130">
        <v>37.4</v>
      </c>
      <c r="Q130">
        <v>22</v>
      </c>
      <c r="R130">
        <v>8</v>
      </c>
      <c r="S130" t="s">
        <v>53</v>
      </c>
      <c r="T130">
        <v>13</v>
      </c>
      <c r="U130">
        <v>1003.8</v>
      </c>
    </row>
    <row r="131" spans="1:21" x14ac:dyDescent="0.5">
      <c r="A131" s="3">
        <v>43411</v>
      </c>
      <c r="B131">
        <v>16.3</v>
      </c>
      <c r="C131">
        <v>17.600000000000001</v>
      </c>
      <c r="D131">
        <v>12.8</v>
      </c>
      <c r="E131">
        <v>9.6</v>
      </c>
      <c r="G131" t="s">
        <v>56</v>
      </c>
      <c r="H131">
        <v>52</v>
      </c>
      <c r="I131" s="4">
        <v>0.39374999999999999</v>
      </c>
      <c r="J131">
        <v>16.3</v>
      </c>
      <c r="K131">
        <v>99</v>
      </c>
      <c r="L131">
        <v>8</v>
      </c>
      <c r="M131" t="s">
        <v>56</v>
      </c>
      <c r="N131">
        <v>35</v>
      </c>
      <c r="O131">
        <v>1013.8</v>
      </c>
      <c r="P131">
        <v>15.5</v>
      </c>
      <c r="Q131">
        <v>80</v>
      </c>
      <c r="R131">
        <v>8</v>
      </c>
      <c r="S131" t="s">
        <v>50</v>
      </c>
      <c r="T131">
        <v>19</v>
      </c>
      <c r="U131">
        <v>1015.1</v>
      </c>
    </row>
    <row r="132" spans="1:21" x14ac:dyDescent="0.5">
      <c r="A132" s="3">
        <v>43412</v>
      </c>
      <c r="B132">
        <v>9.6999999999999993</v>
      </c>
      <c r="C132">
        <v>23.7</v>
      </c>
      <c r="D132">
        <v>1.6</v>
      </c>
      <c r="E132">
        <v>4.4000000000000004</v>
      </c>
      <c r="G132" t="s">
        <v>50</v>
      </c>
      <c r="H132">
        <v>50</v>
      </c>
      <c r="I132" s="4">
        <v>0.34583333333333338</v>
      </c>
      <c r="J132">
        <v>17.399999999999999</v>
      </c>
      <c r="K132">
        <v>48</v>
      </c>
      <c r="M132" t="s">
        <v>58</v>
      </c>
      <c r="N132">
        <v>35</v>
      </c>
      <c r="O132">
        <v>1018.3</v>
      </c>
      <c r="P132">
        <v>22.2</v>
      </c>
      <c r="Q132">
        <v>29</v>
      </c>
      <c r="S132" t="s">
        <v>61</v>
      </c>
      <c r="T132">
        <v>22</v>
      </c>
      <c r="U132">
        <v>1014.6</v>
      </c>
    </row>
    <row r="133" spans="1:21" x14ac:dyDescent="0.5">
      <c r="A133" s="3">
        <v>43413</v>
      </c>
      <c r="B133">
        <v>12.3</v>
      </c>
      <c r="C133">
        <v>27.2</v>
      </c>
      <c r="D133">
        <v>0</v>
      </c>
      <c r="E133">
        <v>7.6</v>
      </c>
      <c r="G133" t="s">
        <v>57</v>
      </c>
      <c r="H133">
        <v>35</v>
      </c>
      <c r="I133" s="4">
        <v>0.64444444444444449</v>
      </c>
      <c r="J133">
        <v>18</v>
      </c>
      <c r="K133">
        <v>42</v>
      </c>
      <c r="L133">
        <v>8</v>
      </c>
      <c r="M133" t="s">
        <v>61</v>
      </c>
      <c r="N133">
        <v>20</v>
      </c>
      <c r="O133">
        <v>1017.4</v>
      </c>
      <c r="P133">
        <v>25.9</v>
      </c>
      <c r="Q133">
        <v>19</v>
      </c>
      <c r="S133" t="s">
        <v>56</v>
      </c>
      <c r="T133">
        <v>17</v>
      </c>
      <c r="U133">
        <v>1013.1</v>
      </c>
    </row>
    <row r="134" spans="1:21" x14ac:dyDescent="0.5">
      <c r="A134" s="3">
        <v>43414</v>
      </c>
      <c r="B134">
        <v>11.9</v>
      </c>
      <c r="C134">
        <v>29.9</v>
      </c>
      <c r="D134">
        <v>0</v>
      </c>
      <c r="G134" t="s">
        <v>56</v>
      </c>
      <c r="H134">
        <v>50</v>
      </c>
      <c r="I134" s="4">
        <v>0.65763888888888888</v>
      </c>
      <c r="J134">
        <v>22.6</v>
      </c>
      <c r="K134">
        <v>22</v>
      </c>
      <c r="M134" t="s">
        <v>58</v>
      </c>
      <c r="N134">
        <v>15</v>
      </c>
      <c r="O134">
        <v>1015.9</v>
      </c>
      <c r="P134">
        <v>28.3</v>
      </c>
      <c r="Q134">
        <v>12</v>
      </c>
      <c r="S134" t="s">
        <v>50</v>
      </c>
      <c r="T134">
        <v>22</v>
      </c>
      <c r="U134">
        <v>1012</v>
      </c>
    </row>
    <row r="135" spans="1:21" x14ac:dyDescent="0.5">
      <c r="A135" s="3">
        <v>43415</v>
      </c>
      <c r="B135">
        <v>11.8</v>
      </c>
      <c r="C135">
        <v>31.9</v>
      </c>
      <c r="D135">
        <v>0</v>
      </c>
      <c r="G135" t="s">
        <v>61</v>
      </c>
      <c r="H135">
        <v>35</v>
      </c>
      <c r="I135" s="4">
        <v>0.45347222222222222</v>
      </c>
      <c r="J135">
        <v>24</v>
      </c>
      <c r="K135">
        <v>15</v>
      </c>
      <c r="M135" t="s">
        <v>50</v>
      </c>
      <c r="N135">
        <v>15</v>
      </c>
      <c r="O135">
        <v>1014.1</v>
      </c>
      <c r="P135">
        <v>30.2</v>
      </c>
      <c r="Q135">
        <v>10</v>
      </c>
      <c r="S135" t="s">
        <v>58</v>
      </c>
      <c r="T135">
        <v>15</v>
      </c>
      <c r="U135">
        <v>1009.7</v>
      </c>
    </row>
    <row r="136" spans="1:21" x14ac:dyDescent="0.5">
      <c r="A136" s="3">
        <v>43416</v>
      </c>
      <c r="B136">
        <v>15.4</v>
      </c>
      <c r="C136">
        <v>37.9</v>
      </c>
      <c r="D136">
        <v>0</v>
      </c>
      <c r="G136" t="s">
        <v>54</v>
      </c>
      <c r="H136">
        <v>46</v>
      </c>
      <c r="I136" s="4">
        <v>0.9902777777777777</v>
      </c>
      <c r="J136">
        <v>29.5</v>
      </c>
      <c r="K136">
        <v>22</v>
      </c>
      <c r="M136" t="s">
        <v>61</v>
      </c>
      <c r="N136">
        <v>22</v>
      </c>
      <c r="O136">
        <v>1010.9</v>
      </c>
      <c r="P136">
        <v>37.299999999999997</v>
      </c>
      <c r="Q136">
        <v>12</v>
      </c>
      <c r="S136" t="s">
        <v>54</v>
      </c>
      <c r="T136">
        <v>13</v>
      </c>
      <c r="U136">
        <v>1005.8</v>
      </c>
    </row>
    <row r="137" spans="1:21" x14ac:dyDescent="0.5">
      <c r="A137" s="3">
        <v>43417</v>
      </c>
      <c r="B137">
        <v>23.8</v>
      </c>
      <c r="C137">
        <v>36.6</v>
      </c>
      <c r="D137">
        <v>0</v>
      </c>
      <c r="E137">
        <v>12</v>
      </c>
      <c r="G137" t="s">
        <v>18</v>
      </c>
      <c r="H137">
        <v>41</v>
      </c>
      <c r="I137" s="4">
        <v>0.75902777777777775</v>
      </c>
      <c r="J137">
        <v>26.7</v>
      </c>
      <c r="K137">
        <v>32</v>
      </c>
      <c r="L137">
        <v>8</v>
      </c>
      <c r="M137" t="s">
        <v>58</v>
      </c>
      <c r="N137">
        <v>13</v>
      </c>
      <c r="O137">
        <v>1011.2</v>
      </c>
      <c r="P137">
        <v>34.700000000000003</v>
      </c>
      <c r="Q137">
        <v>18</v>
      </c>
      <c r="S137" t="s">
        <v>59</v>
      </c>
      <c r="T137">
        <v>13</v>
      </c>
      <c r="U137">
        <v>1006.2</v>
      </c>
    </row>
    <row r="138" spans="1:21" x14ac:dyDescent="0.5">
      <c r="A138" s="3">
        <v>43418</v>
      </c>
      <c r="C138">
        <v>37.1</v>
      </c>
      <c r="D138">
        <v>0</v>
      </c>
      <c r="E138">
        <v>11.2</v>
      </c>
      <c r="J138">
        <v>29.6</v>
      </c>
      <c r="K138">
        <v>44</v>
      </c>
      <c r="M138" t="s">
        <v>58</v>
      </c>
      <c r="N138">
        <v>13</v>
      </c>
      <c r="O138">
        <v>1011.7</v>
      </c>
      <c r="P138">
        <v>32.299999999999997</v>
      </c>
      <c r="Q138">
        <v>33</v>
      </c>
      <c r="R138">
        <v>2</v>
      </c>
      <c r="S138" t="s">
        <v>61</v>
      </c>
      <c r="T138">
        <v>30</v>
      </c>
      <c r="U138">
        <v>1009.4</v>
      </c>
    </row>
    <row r="139" spans="1:21" x14ac:dyDescent="0.5">
      <c r="A139" s="3">
        <v>43419</v>
      </c>
      <c r="B139">
        <v>23.6</v>
      </c>
      <c r="C139">
        <v>36.4</v>
      </c>
      <c r="D139">
        <v>0</v>
      </c>
      <c r="E139">
        <v>14.6</v>
      </c>
      <c r="G139" t="s">
        <v>61</v>
      </c>
      <c r="H139">
        <v>43</v>
      </c>
      <c r="I139" s="4">
        <v>0.48958333333333331</v>
      </c>
      <c r="J139">
        <v>28.5</v>
      </c>
      <c r="K139">
        <v>37</v>
      </c>
      <c r="M139" t="s">
        <v>50</v>
      </c>
      <c r="N139">
        <v>26</v>
      </c>
      <c r="O139">
        <v>1016.3</v>
      </c>
      <c r="P139">
        <v>35.200000000000003</v>
      </c>
      <c r="Q139">
        <v>23</v>
      </c>
      <c r="S139" t="s">
        <v>54</v>
      </c>
      <c r="T139">
        <v>11</v>
      </c>
      <c r="U139">
        <v>1012.6</v>
      </c>
    </row>
    <row r="140" spans="1:21" x14ac:dyDescent="0.5">
      <c r="A140" s="3">
        <v>43420</v>
      </c>
      <c r="B140">
        <v>23.7</v>
      </c>
      <c r="C140">
        <v>28.2</v>
      </c>
      <c r="D140">
        <v>0</v>
      </c>
      <c r="E140">
        <v>16</v>
      </c>
      <c r="G140" t="s">
        <v>54</v>
      </c>
      <c r="H140">
        <v>44</v>
      </c>
      <c r="I140" s="4">
        <v>0.70277777777777783</v>
      </c>
      <c r="J140">
        <v>27.2</v>
      </c>
      <c r="K140">
        <v>25</v>
      </c>
      <c r="L140">
        <v>7</v>
      </c>
      <c r="M140" t="s">
        <v>58</v>
      </c>
      <c r="N140">
        <v>24</v>
      </c>
      <c r="O140">
        <v>1015.5</v>
      </c>
      <c r="P140">
        <v>26.9</v>
      </c>
      <c r="Q140">
        <v>33</v>
      </c>
      <c r="R140">
        <v>7</v>
      </c>
      <c r="S140" t="s">
        <v>59</v>
      </c>
      <c r="T140">
        <v>28</v>
      </c>
      <c r="U140">
        <v>1014.5</v>
      </c>
    </row>
    <row r="141" spans="1:21" x14ac:dyDescent="0.5">
      <c r="A141" s="3">
        <v>43421</v>
      </c>
      <c r="B141">
        <v>20</v>
      </c>
      <c r="C141">
        <v>29.3</v>
      </c>
      <c r="D141">
        <v>0</v>
      </c>
      <c r="G141" t="s">
        <v>58</v>
      </c>
      <c r="H141">
        <v>37</v>
      </c>
      <c r="I141" s="4">
        <v>0.46180555555555558</v>
      </c>
      <c r="J141">
        <v>26.3</v>
      </c>
      <c r="K141">
        <v>20</v>
      </c>
      <c r="L141">
        <v>8</v>
      </c>
      <c r="M141" t="s">
        <v>50</v>
      </c>
      <c r="N141">
        <v>19</v>
      </c>
      <c r="O141">
        <v>1016.1</v>
      </c>
      <c r="P141">
        <v>27.1</v>
      </c>
      <c r="Q141">
        <v>26</v>
      </c>
      <c r="R141">
        <v>7</v>
      </c>
      <c r="S141" t="s">
        <v>57</v>
      </c>
      <c r="T141">
        <v>20</v>
      </c>
      <c r="U141">
        <v>1013.4</v>
      </c>
    </row>
    <row r="142" spans="1:21" x14ac:dyDescent="0.5">
      <c r="A142" s="3">
        <v>43422</v>
      </c>
      <c r="B142">
        <v>17.399999999999999</v>
      </c>
      <c r="C142">
        <v>33.1</v>
      </c>
      <c r="D142">
        <v>0</v>
      </c>
      <c r="G142" t="s">
        <v>19</v>
      </c>
      <c r="H142">
        <v>33</v>
      </c>
      <c r="I142" s="4">
        <v>0.64722222222222225</v>
      </c>
      <c r="J142">
        <v>22.9</v>
      </c>
      <c r="K142">
        <v>52</v>
      </c>
      <c r="L142">
        <v>8</v>
      </c>
      <c r="M142" t="s">
        <v>16</v>
      </c>
      <c r="N142">
        <v>2</v>
      </c>
      <c r="O142">
        <v>1013.3</v>
      </c>
      <c r="P142">
        <v>32.1</v>
      </c>
      <c r="Q142">
        <v>22</v>
      </c>
      <c r="R142">
        <v>1</v>
      </c>
      <c r="S142" t="s">
        <v>19</v>
      </c>
      <c r="T142">
        <v>9</v>
      </c>
      <c r="U142">
        <v>1009.3</v>
      </c>
    </row>
    <row r="143" spans="1:21" x14ac:dyDescent="0.5">
      <c r="A143" s="3">
        <v>43423</v>
      </c>
      <c r="B143">
        <v>19.399999999999999</v>
      </c>
      <c r="C143">
        <v>38.200000000000003</v>
      </c>
      <c r="D143">
        <v>0</v>
      </c>
      <c r="G143" t="s">
        <v>53</v>
      </c>
      <c r="H143">
        <v>41</v>
      </c>
      <c r="I143" s="4">
        <v>0.58402777777777781</v>
      </c>
      <c r="J143">
        <v>31.8</v>
      </c>
      <c r="K143">
        <v>23</v>
      </c>
      <c r="M143" t="s">
        <v>15</v>
      </c>
      <c r="N143">
        <v>17</v>
      </c>
      <c r="O143">
        <v>1009.7</v>
      </c>
      <c r="P143">
        <v>35.1</v>
      </c>
      <c r="Q143">
        <v>15</v>
      </c>
      <c r="R143">
        <v>1</v>
      </c>
      <c r="S143" t="s">
        <v>53</v>
      </c>
      <c r="T143">
        <v>13</v>
      </c>
      <c r="U143">
        <v>1005</v>
      </c>
    </row>
    <row r="144" spans="1:21" x14ac:dyDescent="0.5">
      <c r="A144" s="3">
        <v>43424</v>
      </c>
      <c r="B144">
        <v>22.7</v>
      </c>
      <c r="C144">
        <v>39.5</v>
      </c>
      <c r="D144">
        <v>0</v>
      </c>
      <c r="G144" t="s">
        <v>19</v>
      </c>
      <c r="H144">
        <v>57</v>
      </c>
      <c r="I144" s="4">
        <v>0.65833333333333333</v>
      </c>
      <c r="J144">
        <v>30.6</v>
      </c>
      <c r="K144">
        <v>38</v>
      </c>
      <c r="L144">
        <v>1</v>
      </c>
      <c r="M144" t="s">
        <v>55</v>
      </c>
      <c r="N144">
        <v>15</v>
      </c>
      <c r="O144">
        <v>1006.6</v>
      </c>
      <c r="P144">
        <v>38</v>
      </c>
      <c r="Q144">
        <v>19</v>
      </c>
      <c r="R144">
        <v>5</v>
      </c>
      <c r="S144" t="s">
        <v>15</v>
      </c>
      <c r="T144">
        <v>28</v>
      </c>
      <c r="U144">
        <v>1000.4</v>
      </c>
    </row>
    <row r="145" spans="1:21" x14ac:dyDescent="0.5">
      <c r="A145" s="3">
        <v>43425</v>
      </c>
      <c r="B145">
        <v>16.899999999999999</v>
      </c>
      <c r="C145">
        <v>21.1</v>
      </c>
      <c r="D145">
        <v>32.799999999999997</v>
      </c>
      <c r="E145">
        <v>14.6</v>
      </c>
      <c r="G145" t="s">
        <v>61</v>
      </c>
      <c r="H145">
        <v>41</v>
      </c>
      <c r="I145" s="4">
        <v>4.2361111111111106E-2</v>
      </c>
      <c r="J145">
        <v>18.100000000000001</v>
      </c>
      <c r="K145">
        <v>99</v>
      </c>
      <c r="L145">
        <v>8</v>
      </c>
      <c r="M145" t="s">
        <v>50</v>
      </c>
      <c r="N145">
        <v>11</v>
      </c>
      <c r="O145">
        <v>1009.6</v>
      </c>
      <c r="P145">
        <v>20.3</v>
      </c>
      <c r="Q145">
        <v>88</v>
      </c>
      <c r="R145">
        <v>8</v>
      </c>
      <c r="S145" t="s">
        <v>56</v>
      </c>
      <c r="T145">
        <v>9</v>
      </c>
      <c r="U145">
        <v>1007.7</v>
      </c>
    </row>
    <row r="146" spans="1:21" x14ac:dyDescent="0.5">
      <c r="A146" s="3">
        <v>43426</v>
      </c>
      <c r="B146">
        <v>15.9</v>
      </c>
      <c r="C146">
        <v>27</v>
      </c>
      <c r="D146">
        <v>0.6</v>
      </c>
      <c r="E146">
        <v>2.6</v>
      </c>
      <c r="G146" t="s">
        <v>58</v>
      </c>
      <c r="H146">
        <v>37</v>
      </c>
      <c r="I146" s="4">
        <v>0.35555555555555557</v>
      </c>
      <c r="J146">
        <v>18.7</v>
      </c>
      <c r="K146">
        <v>62</v>
      </c>
      <c r="L146">
        <v>8</v>
      </c>
      <c r="M146" t="s">
        <v>58</v>
      </c>
      <c r="N146">
        <v>26</v>
      </c>
      <c r="O146">
        <v>1014.8</v>
      </c>
      <c r="P146">
        <v>25.1</v>
      </c>
      <c r="Q146">
        <v>43</v>
      </c>
      <c r="S146" t="s">
        <v>15</v>
      </c>
      <c r="T146">
        <v>9</v>
      </c>
      <c r="U146">
        <v>1011.1</v>
      </c>
    </row>
    <row r="147" spans="1:21" x14ac:dyDescent="0.5">
      <c r="A147" s="3">
        <v>43427</v>
      </c>
      <c r="B147">
        <v>15.6</v>
      </c>
      <c r="C147">
        <v>35.6</v>
      </c>
      <c r="D147">
        <v>0</v>
      </c>
      <c r="E147">
        <v>7.4</v>
      </c>
      <c r="G147" t="s">
        <v>17</v>
      </c>
      <c r="H147">
        <v>57</v>
      </c>
      <c r="I147" s="4">
        <v>0.88611111111111107</v>
      </c>
      <c r="J147">
        <v>24.1</v>
      </c>
      <c r="K147">
        <v>43</v>
      </c>
      <c r="M147" t="s">
        <v>16</v>
      </c>
      <c r="N147">
        <v>19</v>
      </c>
      <c r="O147">
        <v>1012.9</v>
      </c>
      <c r="P147">
        <v>33.700000000000003</v>
      </c>
      <c r="Q147">
        <v>24</v>
      </c>
      <c r="S147" t="s">
        <v>14</v>
      </c>
      <c r="T147">
        <v>20</v>
      </c>
      <c r="U147">
        <v>1007.9</v>
      </c>
    </row>
    <row r="148" spans="1:21" x14ac:dyDescent="0.5">
      <c r="A148" s="3">
        <v>43428</v>
      </c>
      <c r="B148">
        <v>22.8</v>
      </c>
      <c r="C148">
        <v>39.299999999999997</v>
      </c>
      <c r="D148">
        <v>0</v>
      </c>
      <c r="G148" t="s">
        <v>17</v>
      </c>
      <c r="H148">
        <v>63</v>
      </c>
      <c r="I148" s="4">
        <v>0.54027777777777775</v>
      </c>
      <c r="J148">
        <v>29</v>
      </c>
      <c r="K148">
        <v>56</v>
      </c>
      <c r="L148">
        <v>5</v>
      </c>
      <c r="M148" t="s">
        <v>15</v>
      </c>
      <c r="N148">
        <v>33</v>
      </c>
      <c r="O148">
        <v>1009.3</v>
      </c>
      <c r="P148">
        <v>35.299999999999997</v>
      </c>
      <c r="Q148">
        <v>33</v>
      </c>
      <c r="S148" t="s">
        <v>15</v>
      </c>
      <c r="T148">
        <v>17</v>
      </c>
      <c r="U148">
        <v>1005.1</v>
      </c>
    </row>
    <row r="149" spans="1:21" x14ac:dyDescent="0.5">
      <c r="A149" s="3">
        <v>43429</v>
      </c>
      <c r="B149">
        <v>20.5</v>
      </c>
      <c r="C149">
        <v>35.4</v>
      </c>
      <c r="D149">
        <v>0</v>
      </c>
      <c r="G149" t="s">
        <v>56</v>
      </c>
      <c r="H149">
        <v>35</v>
      </c>
      <c r="I149" s="4">
        <v>0.62152777777777779</v>
      </c>
      <c r="J149">
        <v>28.5</v>
      </c>
      <c r="K149">
        <v>22</v>
      </c>
      <c r="M149" t="s">
        <v>57</v>
      </c>
      <c r="N149">
        <v>19</v>
      </c>
      <c r="O149">
        <v>1011.9</v>
      </c>
      <c r="P149">
        <v>34.6</v>
      </c>
      <c r="Q149">
        <v>17</v>
      </c>
      <c r="S149" t="s">
        <v>56</v>
      </c>
      <c r="T149">
        <v>17</v>
      </c>
      <c r="U149">
        <v>1007.5</v>
      </c>
    </row>
    <row r="150" spans="1:21" x14ac:dyDescent="0.5">
      <c r="A150" s="3">
        <v>43430</v>
      </c>
      <c r="B150">
        <v>22.3</v>
      </c>
      <c r="C150">
        <v>38.1</v>
      </c>
      <c r="D150">
        <v>2.4</v>
      </c>
      <c r="E150">
        <v>26.4</v>
      </c>
      <c r="G150" t="s">
        <v>17</v>
      </c>
      <c r="H150">
        <v>70</v>
      </c>
      <c r="I150" s="4">
        <v>0.65555555555555556</v>
      </c>
      <c r="J150">
        <v>26.4</v>
      </c>
      <c r="K150">
        <v>44</v>
      </c>
      <c r="L150">
        <v>8</v>
      </c>
      <c r="M150" t="s">
        <v>14</v>
      </c>
      <c r="N150">
        <v>17</v>
      </c>
      <c r="O150">
        <v>1008.7</v>
      </c>
      <c r="P150">
        <v>36.6</v>
      </c>
      <c r="Q150">
        <v>29</v>
      </c>
      <c r="S150" t="s">
        <v>17</v>
      </c>
      <c r="T150">
        <v>39</v>
      </c>
      <c r="U150">
        <v>1002.2</v>
      </c>
    </row>
    <row r="151" spans="1:21" x14ac:dyDescent="0.5">
      <c r="A151" s="3">
        <v>43431</v>
      </c>
      <c r="C151">
        <v>34.1</v>
      </c>
      <c r="D151">
        <v>0</v>
      </c>
      <c r="E151">
        <v>15.6</v>
      </c>
      <c r="J151">
        <v>26.5</v>
      </c>
      <c r="K151">
        <v>40</v>
      </c>
      <c r="M151" t="s">
        <v>55</v>
      </c>
      <c r="N151">
        <v>24</v>
      </c>
      <c r="O151">
        <v>1009.5</v>
      </c>
      <c r="P151">
        <v>32.200000000000003</v>
      </c>
      <c r="Q151">
        <v>22</v>
      </c>
      <c r="S151" t="s">
        <v>54</v>
      </c>
      <c r="T151">
        <v>19</v>
      </c>
      <c r="U151">
        <v>1006.7</v>
      </c>
    </row>
    <row r="152" spans="1:21" x14ac:dyDescent="0.5">
      <c r="A152" s="3">
        <v>43432</v>
      </c>
      <c r="B152">
        <v>14.9</v>
      </c>
      <c r="C152">
        <v>32</v>
      </c>
      <c r="D152">
        <v>0</v>
      </c>
      <c r="E152">
        <v>12</v>
      </c>
      <c r="G152" t="s">
        <v>57</v>
      </c>
      <c r="H152">
        <v>43</v>
      </c>
      <c r="I152" s="4">
        <v>0.47916666666666669</v>
      </c>
      <c r="J152">
        <v>23.8</v>
      </c>
      <c r="K152">
        <v>31</v>
      </c>
      <c r="M152" t="s">
        <v>57</v>
      </c>
      <c r="N152">
        <v>20</v>
      </c>
      <c r="O152">
        <v>1013.1</v>
      </c>
      <c r="P152">
        <v>30.2</v>
      </c>
      <c r="Q152">
        <v>18</v>
      </c>
      <c r="S152" t="s">
        <v>15</v>
      </c>
      <c r="T152">
        <v>9</v>
      </c>
      <c r="U152">
        <v>1010.1</v>
      </c>
    </row>
    <row r="153" spans="1:21" x14ac:dyDescent="0.5">
      <c r="A153" s="3">
        <v>43433</v>
      </c>
      <c r="B153">
        <v>15.6</v>
      </c>
      <c r="C153">
        <v>37.200000000000003</v>
      </c>
      <c r="D153">
        <v>0</v>
      </c>
      <c r="G153" t="s">
        <v>50</v>
      </c>
      <c r="H153">
        <v>31</v>
      </c>
      <c r="I153" s="4">
        <v>0.69166666666666676</v>
      </c>
      <c r="J153">
        <v>27.6</v>
      </c>
      <c r="K153">
        <v>26</v>
      </c>
      <c r="M153" t="s">
        <v>61</v>
      </c>
      <c r="N153">
        <v>13</v>
      </c>
      <c r="O153">
        <v>1012.7</v>
      </c>
      <c r="P153">
        <v>35.700000000000003</v>
      </c>
      <c r="Q153">
        <v>12</v>
      </c>
      <c r="S153" t="s">
        <v>61</v>
      </c>
      <c r="T153">
        <v>9</v>
      </c>
      <c r="U153">
        <v>1008.3</v>
      </c>
    </row>
    <row r="154" spans="1:21" x14ac:dyDescent="0.5">
      <c r="A154" s="3">
        <v>43434</v>
      </c>
      <c r="B154">
        <v>23.9</v>
      </c>
      <c r="C154">
        <v>38</v>
      </c>
      <c r="D154">
        <v>0</v>
      </c>
      <c r="E154">
        <v>26.6</v>
      </c>
      <c r="G154" t="s">
        <v>18</v>
      </c>
      <c r="H154">
        <v>43</v>
      </c>
      <c r="I154" s="4">
        <v>0.88958333333333339</v>
      </c>
      <c r="J154">
        <v>26.1</v>
      </c>
      <c r="K154">
        <v>29</v>
      </c>
      <c r="L154">
        <v>8</v>
      </c>
      <c r="M154" t="s">
        <v>53</v>
      </c>
      <c r="N154">
        <v>9</v>
      </c>
      <c r="O154">
        <v>1013.4</v>
      </c>
      <c r="P154">
        <v>35.6</v>
      </c>
      <c r="Q154">
        <v>17</v>
      </c>
      <c r="S154" t="s">
        <v>17</v>
      </c>
      <c r="T154">
        <v>19</v>
      </c>
      <c r="U154">
        <v>1008.3</v>
      </c>
    </row>
    <row r="155" spans="1:21" x14ac:dyDescent="0.5">
      <c r="A155" s="3">
        <v>43435</v>
      </c>
      <c r="B155">
        <v>21.3</v>
      </c>
      <c r="C155">
        <v>34.5</v>
      </c>
      <c r="D155">
        <v>0</v>
      </c>
      <c r="G155" t="s">
        <v>54</v>
      </c>
      <c r="H155">
        <v>61</v>
      </c>
      <c r="I155" s="4">
        <v>0.95486111111111116</v>
      </c>
      <c r="J155">
        <v>26.6</v>
      </c>
      <c r="K155">
        <v>27</v>
      </c>
      <c r="L155">
        <v>8</v>
      </c>
      <c r="M155" t="s">
        <v>16</v>
      </c>
      <c r="N155">
        <v>22</v>
      </c>
      <c r="O155">
        <v>1011.2</v>
      </c>
      <c r="P155">
        <v>34</v>
      </c>
      <c r="Q155">
        <v>27</v>
      </c>
      <c r="R155">
        <v>8</v>
      </c>
      <c r="S155" t="s">
        <v>53</v>
      </c>
      <c r="T155">
        <v>31</v>
      </c>
      <c r="U155">
        <v>1007.9</v>
      </c>
    </row>
    <row r="156" spans="1:21" x14ac:dyDescent="0.5">
      <c r="A156" s="3">
        <v>43436</v>
      </c>
      <c r="B156">
        <v>21.8</v>
      </c>
      <c r="C156">
        <v>36.200000000000003</v>
      </c>
      <c r="D156">
        <v>0</v>
      </c>
      <c r="E156">
        <v>17</v>
      </c>
      <c r="G156" t="s">
        <v>54</v>
      </c>
      <c r="H156">
        <v>41</v>
      </c>
      <c r="I156" s="4">
        <v>0.55763888888888891</v>
      </c>
      <c r="J156">
        <v>29.1</v>
      </c>
      <c r="K156">
        <v>39</v>
      </c>
      <c r="M156" t="s">
        <v>54</v>
      </c>
      <c r="N156">
        <v>20</v>
      </c>
      <c r="O156">
        <v>1012.1</v>
      </c>
      <c r="P156">
        <v>34</v>
      </c>
      <c r="Q156">
        <v>27</v>
      </c>
      <c r="S156" t="s">
        <v>54</v>
      </c>
      <c r="T156">
        <v>20</v>
      </c>
      <c r="U156">
        <v>1009</v>
      </c>
    </row>
    <row r="157" spans="1:21" x14ac:dyDescent="0.5">
      <c r="A157" s="3">
        <v>43437</v>
      </c>
      <c r="B157">
        <v>21.2</v>
      </c>
      <c r="C157">
        <v>29</v>
      </c>
      <c r="D157">
        <v>0</v>
      </c>
      <c r="E157">
        <v>13.6</v>
      </c>
      <c r="G157" t="s">
        <v>18</v>
      </c>
      <c r="H157">
        <v>35</v>
      </c>
      <c r="I157" s="4">
        <v>0.54999999999999993</v>
      </c>
      <c r="J157">
        <v>23.4</v>
      </c>
      <c r="K157">
        <v>68</v>
      </c>
      <c r="L157">
        <v>8</v>
      </c>
      <c r="M157" t="s">
        <v>53</v>
      </c>
      <c r="N157">
        <v>11</v>
      </c>
      <c r="O157">
        <v>1015.5</v>
      </c>
      <c r="P157">
        <v>27.9</v>
      </c>
      <c r="Q157">
        <v>54</v>
      </c>
      <c r="R157">
        <v>6</v>
      </c>
      <c r="S157" t="s">
        <v>17</v>
      </c>
      <c r="T157">
        <v>22</v>
      </c>
      <c r="U157">
        <v>1012.3</v>
      </c>
    </row>
    <row r="158" spans="1:21" x14ac:dyDescent="0.5">
      <c r="A158" s="3">
        <v>43438</v>
      </c>
      <c r="B158">
        <v>18.8</v>
      </c>
      <c r="C158">
        <v>34.1</v>
      </c>
      <c r="D158">
        <v>2</v>
      </c>
      <c r="E158">
        <v>6.2</v>
      </c>
      <c r="G158" t="s">
        <v>58</v>
      </c>
      <c r="H158">
        <v>31</v>
      </c>
      <c r="I158" s="4">
        <v>0.43124999999999997</v>
      </c>
      <c r="J158">
        <v>27.9</v>
      </c>
      <c r="K158">
        <v>39</v>
      </c>
      <c r="M158" t="s">
        <v>61</v>
      </c>
      <c r="N158">
        <v>20</v>
      </c>
      <c r="O158">
        <v>1013.8</v>
      </c>
      <c r="P158">
        <v>33.700000000000003</v>
      </c>
      <c r="Q158">
        <v>22</v>
      </c>
      <c r="R158">
        <v>5</v>
      </c>
      <c r="S158" t="s">
        <v>19</v>
      </c>
      <c r="T158">
        <v>9</v>
      </c>
      <c r="U158">
        <v>1010.6</v>
      </c>
    </row>
    <row r="159" spans="1:21" x14ac:dyDescent="0.5">
      <c r="A159" s="3">
        <v>43439</v>
      </c>
      <c r="B159">
        <v>17.2</v>
      </c>
      <c r="C159">
        <v>36.1</v>
      </c>
      <c r="D159">
        <v>0</v>
      </c>
      <c r="G159" t="s">
        <v>59</v>
      </c>
      <c r="H159">
        <v>35</v>
      </c>
      <c r="I159" s="4">
        <v>0.62291666666666667</v>
      </c>
      <c r="J159">
        <v>30.1</v>
      </c>
      <c r="K159">
        <v>19</v>
      </c>
      <c r="M159" t="s">
        <v>58</v>
      </c>
      <c r="N159">
        <v>15</v>
      </c>
      <c r="O159">
        <v>1012.1</v>
      </c>
      <c r="P159">
        <v>35</v>
      </c>
      <c r="Q159">
        <v>15</v>
      </c>
      <c r="R159">
        <v>8</v>
      </c>
      <c r="S159" t="s">
        <v>59</v>
      </c>
      <c r="T159">
        <v>20</v>
      </c>
      <c r="U159">
        <v>1007</v>
      </c>
    </row>
    <row r="160" spans="1:21" x14ac:dyDescent="0.5">
      <c r="A160" s="3">
        <v>43440</v>
      </c>
      <c r="B160">
        <v>17.3</v>
      </c>
      <c r="C160">
        <v>38.4</v>
      </c>
      <c r="D160">
        <v>0</v>
      </c>
      <c r="E160">
        <v>19.3</v>
      </c>
      <c r="G160" t="s">
        <v>60</v>
      </c>
      <c r="H160">
        <v>44</v>
      </c>
      <c r="I160" s="4">
        <v>0.48888888888888887</v>
      </c>
      <c r="J160">
        <v>31.7</v>
      </c>
      <c r="K160">
        <v>12</v>
      </c>
      <c r="M160" t="s">
        <v>61</v>
      </c>
      <c r="N160">
        <v>31</v>
      </c>
      <c r="O160">
        <v>1009.4</v>
      </c>
      <c r="P160">
        <v>37.6</v>
      </c>
      <c r="Q160">
        <v>8</v>
      </c>
      <c r="S160" t="s">
        <v>50</v>
      </c>
      <c r="T160">
        <v>22</v>
      </c>
      <c r="U160">
        <v>1005.5</v>
      </c>
    </row>
    <row r="161" spans="1:21" x14ac:dyDescent="0.5">
      <c r="A161" s="3">
        <v>43441</v>
      </c>
      <c r="B161">
        <v>18.399999999999999</v>
      </c>
      <c r="C161">
        <v>40.1</v>
      </c>
      <c r="D161">
        <v>0</v>
      </c>
      <c r="E161">
        <v>14.2</v>
      </c>
      <c r="G161" t="s">
        <v>16</v>
      </c>
      <c r="H161">
        <v>41</v>
      </c>
      <c r="I161" s="4">
        <v>0.4597222222222222</v>
      </c>
      <c r="J161">
        <v>34.1</v>
      </c>
      <c r="K161">
        <v>19</v>
      </c>
      <c r="M161" t="s">
        <v>60</v>
      </c>
      <c r="N161">
        <v>20</v>
      </c>
      <c r="O161">
        <v>1008.7</v>
      </c>
      <c r="P161">
        <v>37.799999999999997</v>
      </c>
      <c r="Q161">
        <v>14</v>
      </c>
      <c r="R161">
        <v>1</v>
      </c>
      <c r="S161" t="s">
        <v>50</v>
      </c>
      <c r="T161">
        <v>17</v>
      </c>
      <c r="U161">
        <v>1005.9</v>
      </c>
    </row>
    <row r="162" spans="1:21" x14ac:dyDescent="0.5">
      <c r="A162" s="3">
        <v>43442</v>
      </c>
      <c r="B162">
        <v>22.8</v>
      </c>
      <c r="C162">
        <v>40.700000000000003</v>
      </c>
      <c r="D162">
        <v>0</v>
      </c>
      <c r="G162" t="s">
        <v>50</v>
      </c>
      <c r="H162">
        <v>48</v>
      </c>
      <c r="I162" s="4">
        <v>0.59513888888888888</v>
      </c>
      <c r="J162">
        <v>34.4</v>
      </c>
      <c r="K162">
        <v>18</v>
      </c>
      <c r="M162" t="s">
        <v>16</v>
      </c>
      <c r="N162">
        <v>19</v>
      </c>
      <c r="O162">
        <v>1010.8</v>
      </c>
      <c r="P162">
        <v>39</v>
      </c>
      <c r="Q162">
        <v>13</v>
      </c>
      <c r="S162" t="s">
        <v>50</v>
      </c>
      <c r="T162">
        <v>22</v>
      </c>
      <c r="U162">
        <v>1007.3</v>
      </c>
    </row>
    <row r="163" spans="1:21" x14ac:dyDescent="0.5">
      <c r="A163" s="3">
        <v>43443</v>
      </c>
      <c r="B163">
        <v>20.9</v>
      </c>
      <c r="C163">
        <v>41.3</v>
      </c>
      <c r="D163">
        <v>0</v>
      </c>
      <c r="G163" t="s">
        <v>56</v>
      </c>
      <c r="H163">
        <v>54</v>
      </c>
      <c r="I163" s="4">
        <v>0.99375000000000002</v>
      </c>
      <c r="J163">
        <v>34.9</v>
      </c>
      <c r="K163">
        <v>18</v>
      </c>
      <c r="M163" t="s">
        <v>60</v>
      </c>
      <c r="N163">
        <v>19</v>
      </c>
      <c r="O163">
        <v>1010.6</v>
      </c>
      <c r="P163">
        <v>40.5</v>
      </c>
      <c r="Q163">
        <v>11</v>
      </c>
      <c r="S163" t="s">
        <v>50</v>
      </c>
      <c r="T163">
        <v>30</v>
      </c>
      <c r="U163">
        <v>1006.6</v>
      </c>
    </row>
    <row r="164" spans="1:21" x14ac:dyDescent="0.5">
      <c r="A164" s="3">
        <v>43444</v>
      </c>
      <c r="B164">
        <v>21.3</v>
      </c>
      <c r="C164">
        <v>39.5</v>
      </c>
      <c r="D164">
        <v>0</v>
      </c>
      <c r="G164" t="s">
        <v>56</v>
      </c>
      <c r="H164">
        <v>52</v>
      </c>
      <c r="I164" s="4">
        <v>1.1805555555555555E-2</v>
      </c>
      <c r="J164">
        <v>30.2</v>
      </c>
      <c r="K164">
        <v>27</v>
      </c>
      <c r="M164" t="s">
        <v>57</v>
      </c>
      <c r="N164">
        <v>17</v>
      </c>
      <c r="O164">
        <v>1011.6</v>
      </c>
      <c r="P164">
        <v>37.6</v>
      </c>
      <c r="Q164">
        <v>12</v>
      </c>
      <c r="S164" t="s">
        <v>58</v>
      </c>
      <c r="T164">
        <v>22</v>
      </c>
      <c r="U164">
        <v>1006.8</v>
      </c>
    </row>
    <row r="165" spans="1:21" x14ac:dyDescent="0.5">
      <c r="A165" s="3">
        <v>43445</v>
      </c>
      <c r="B165">
        <v>21.6</v>
      </c>
      <c r="C165">
        <v>41.7</v>
      </c>
      <c r="D165">
        <v>0</v>
      </c>
      <c r="G165" t="s">
        <v>58</v>
      </c>
      <c r="H165">
        <v>37</v>
      </c>
      <c r="I165" s="4">
        <v>0.55625000000000002</v>
      </c>
      <c r="J165">
        <v>32.1</v>
      </c>
      <c r="K165">
        <v>23</v>
      </c>
      <c r="M165" t="s">
        <v>50</v>
      </c>
      <c r="N165">
        <v>20</v>
      </c>
      <c r="O165">
        <v>1009.6</v>
      </c>
      <c r="P165">
        <v>40.700000000000003</v>
      </c>
      <c r="Q165">
        <v>11</v>
      </c>
      <c r="S165" t="s">
        <v>55</v>
      </c>
      <c r="T165">
        <v>17</v>
      </c>
      <c r="U165">
        <v>1003.9</v>
      </c>
    </row>
    <row r="166" spans="1:21" x14ac:dyDescent="0.5">
      <c r="A166" s="3">
        <v>43446</v>
      </c>
      <c r="B166">
        <v>23.3</v>
      </c>
      <c r="C166">
        <v>43.2</v>
      </c>
      <c r="D166">
        <v>0</v>
      </c>
      <c r="G166" t="s">
        <v>56</v>
      </c>
      <c r="H166">
        <v>44</v>
      </c>
      <c r="I166" s="4">
        <v>0.63958333333333328</v>
      </c>
      <c r="J166">
        <v>38.700000000000003</v>
      </c>
      <c r="K166">
        <v>13</v>
      </c>
      <c r="M166" t="s">
        <v>16</v>
      </c>
      <c r="N166">
        <v>20</v>
      </c>
      <c r="O166">
        <v>1003.9</v>
      </c>
      <c r="P166">
        <v>41.4</v>
      </c>
      <c r="Q166">
        <v>12</v>
      </c>
      <c r="R166">
        <v>7</v>
      </c>
      <c r="S166" t="s">
        <v>56</v>
      </c>
      <c r="T166">
        <v>30</v>
      </c>
      <c r="U166">
        <v>1001.2</v>
      </c>
    </row>
    <row r="167" spans="1:21" x14ac:dyDescent="0.5">
      <c r="A167" s="3">
        <v>43447</v>
      </c>
      <c r="B167">
        <v>24.7</v>
      </c>
      <c r="C167">
        <v>34.6</v>
      </c>
      <c r="D167">
        <v>0.4</v>
      </c>
      <c r="E167">
        <v>15.8</v>
      </c>
      <c r="G167" t="s">
        <v>56</v>
      </c>
      <c r="H167">
        <v>54</v>
      </c>
      <c r="I167" s="4">
        <v>0.4909722222222222</v>
      </c>
      <c r="J167">
        <v>28.4</v>
      </c>
      <c r="K167">
        <v>43</v>
      </c>
      <c r="M167" t="s">
        <v>57</v>
      </c>
      <c r="N167">
        <v>24</v>
      </c>
      <c r="O167">
        <v>1010</v>
      </c>
      <c r="P167">
        <v>33.299999999999997</v>
      </c>
      <c r="Q167">
        <v>24</v>
      </c>
      <c r="S167" t="s">
        <v>55</v>
      </c>
      <c r="T167">
        <v>20</v>
      </c>
      <c r="U167">
        <v>1006</v>
      </c>
    </row>
    <row r="168" spans="1:21" x14ac:dyDescent="0.5">
      <c r="A168" s="3">
        <v>43448</v>
      </c>
      <c r="B168">
        <v>18.7</v>
      </c>
      <c r="C168">
        <v>30.4</v>
      </c>
      <c r="D168">
        <v>0</v>
      </c>
      <c r="G168" t="s">
        <v>57</v>
      </c>
      <c r="H168">
        <v>41</v>
      </c>
      <c r="I168" s="4">
        <v>0.28125</v>
      </c>
      <c r="J168">
        <v>21.4</v>
      </c>
      <c r="K168">
        <v>25</v>
      </c>
      <c r="M168" t="s">
        <v>57</v>
      </c>
      <c r="N168">
        <v>20</v>
      </c>
      <c r="O168">
        <v>1010.2</v>
      </c>
      <c r="P168">
        <v>28.2</v>
      </c>
      <c r="Q168">
        <v>15</v>
      </c>
      <c r="S168" t="s">
        <v>54</v>
      </c>
      <c r="T168">
        <v>17</v>
      </c>
      <c r="U168">
        <v>1005.3</v>
      </c>
    </row>
    <row r="169" spans="1:21" x14ac:dyDescent="0.5">
      <c r="A169" s="3">
        <v>43449</v>
      </c>
      <c r="B169">
        <v>12.4</v>
      </c>
      <c r="C169">
        <v>34.700000000000003</v>
      </c>
      <c r="D169">
        <v>0</v>
      </c>
      <c r="G169" t="s">
        <v>56</v>
      </c>
      <c r="H169">
        <v>39</v>
      </c>
      <c r="I169" s="4">
        <v>0.72916666666666663</v>
      </c>
      <c r="J169">
        <v>23.2</v>
      </c>
      <c r="K169">
        <v>16</v>
      </c>
      <c r="M169" t="s">
        <v>50</v>
      </c>
      <c r="N169">
        <v>7</v>
      </c>
      <c r="O169">
        <v>1007.9</v>
      </c>
      <c r="P169">
        <v>33.1</v>
      </c>
      <c r="Q169">
        <v>9</v>
      </c>
      <c r="S169" t="s">
        <v>55</v>
      </c>
      <c r="T169">
        <v>13</v>
      </c>
      <c r="U169">
        <v>1003.2</v>
      </c>
    </row>
    <row r="170" spans="1:21" x14ac:dyDescent="0.5">
      <c r="A170" s="3">
        <v>43450</v>
      </c>
      <c r="B170">
        <v>14.9</v>
      </c>
      <c r="C170">
        <v>38.5</v>
      </c>
      <c r="D170">
        <v>0</v>
      </c>
      <c r="G170" t="s">
        <v>58</v>
      </c>
      <c r="H170">
        <v>30</v>
      </c>
      <c r="I170" s="4">
        <v>0.33888888888888885</v>
      </c>
      <c r="J170">
        <v>27.8</v>
      </c>
      <c r="K170">
        <v>23</v>
      </c>
      <c r="M170" t="s">
        <v>58</v>
      </c>
      <c r="N170">
        <v>19</v>
      </c>
      <c r="O170">
        <v>1008.1</v>
      </c>
      <c r="P170">
        <v>36.700000000000003</v>
      </c>
      <c r="Q170">
        <v>9</v>
      </c>
      <c r="S170" t="s">
        <v>59</v>
      </c>
      <c r="T170">
        <v>11</v>
      </c>
      <c r="U170">
        <v>1003.5</v>
      </c>
    </row>
    <row r="171" spans="1:21" x14ac:dyDescent="0.5">
      <c r="A171" s="3">
        <v>43451</v>
      </c>
      <c r="B171">
        <v>18.600000000000001</v>
      </c>
      <c r="C171">
        <v>42.1</v>
      </c>
      <c r="D171">
        <v>0</v>
      </c>
      <c r="G171" t="s">
        <v>61</v>
      </c>
      <c r="H171">
        <v>46</v>
      </c>
      <c r="I171" s="4">
        <v>0.33680555555555558</v>
      </c>
      <c r="J171">
        <v>32.6</v>
      </c>
      <c r="K171">
        <v>15</v>
      </c>
      <c r="M171" t="s">
        <v>60</v>
      </c>
      <c r="N171">
        <v>20</v>
      </c>
      <c r="O171">
        <v>1006.7</v>
      </c>
      <c r="P171">
        <v>41.4</v>
      </c>
      <c r="Q171">
        <v>8</v>
      </c>
      <c r="S171" t="s">
        <v>55</v>
      </c>
      <c r="T171">
        <v>17</v>
      </c>
      <c r="U171">
        <v>1001.9</v>
      </c>
    </row>
    <row r="172" spans="1:21" x14ac:dyDescent="0.5">
      <c r="A172" s="3">
        <v>43452</v>
      </c>
      <c r="B172">
        <v>23.3</v>
      </c>
      <c r="C172">
        <v>44.1</v>
      </c>
      <c r="D172">
        <v>0</v>
      </c>
      <c r="G172" t="s">
        <v>14</v>
      </c>
      <c r="H172">
        <v>37</v>
      </c>
      <c r="I172" s="4">
        <v>0.41180555555555554</v>
      </c>
      <c r="J172">
        <v>37.1</v>
      </c>
      <c r="K172">
        <v>9</v>
      </c>
      <c r="M172" t="s">
        <v>14</v>
      </c>
      <c r="N172">
        <v>15</v>
      </c>
      <c r="O172">
        <v>1005.4</v>
      </c>
      <c r="P172">
        <v>42</v>
      </c>
      <c r="Q172">
        <v>8</v>
      </c>
      <c r="S172" t="s">
        <v>55</v>
      </c>
      <c r="T172">
        <v>7</v>
      </c>
      <c r="U172">
        <v>1001.8</v>
      </c>
    </row>
    <row r="173" spans="1:21" x14ac:dyDescent="0.5">
      <c r="A173" s="3">
        <v>43453</v>
      </c>
      <c r="B173">
        <v>27.7</v>
      </c>
      <c r="C173">
        <v>42.4</v>
      </c>
      <c r="D173">
        <v>0</v>
      </c>
      <c r="E173">
        <v>18.399999999999999</v>
      </c>
      <c r="G173" t="s">
        <v>56</v>
      </c>
      <c r="H173">
        <v>41</v>
      </c>
      <c r="I173" s="4">
        <v>0.6069444444444444</v>
      </c>
      <c r="J173">
        <v>34.1</v>
      </c>
      <c r="K173">
        <v>22</v>
      </c>
      <c r="M173" t="s">
        <v>55</v>
      </c>
      <c r="N173">
        <v>20</v>
      </c>
      <c r="O173">
        <v>1007</v>
      </c>
      <c r="P173">
        <v>41.1</v>
      </c>
      <c r="Q173">
        <v>11</v>
      </c>
      <c r="S173" t="s">
        <v>54</v>
      </c>
      <c r="T173">
        <v>19</v>
      </c>
      <c r="U173">
        <v>1003.7</v>
      </c>
    </row>
    <row r="174" spans="1:21" x14ac:dyDescent="0.5">
      <c r="A174" s="3">
        <v>43454</v>
      </c>
      <c r="B174">
        <v>26.5</v>
      </c>
      <c r="C174">
        <v>39.4</v>
      </c>
      <c r="D174">
        <v>0</v>
      </c>
      <c r="E174">
        <v>18.8</v>
      </c>
      <c r="G174" t="s">
        <v>50</v>
      </c>
      <c r="H174">
        <v>43</v>
      </c>
      <c r="I174" s="4">
        <v>0.57013888888888886</v>
      </c>
      <c r="J174">
        <v>31.7</v>
      </c>
      <c r="K174">
        <v>22</v>
      </c>
      <c r="M174" t="s">
        <v>57</v>
      </c>
      <c r="N174">
        <v>26</v>
      </c>
      <c r="O174">
        <v>1009.7</v>
      </c>
      <c r="P174">
        <v>37.5</v>
      </c>
      <c r="Q174">
        <v>18</v>
      </c>
      <c r="S174" t="s">
        <v>50</v>
      </c>
      <c r="T174">
        <v>13</v>
      </c>
      <c r="U174">
        <v>1006.2</v>
      </c>
    </row>
    <row r="175" spans="1:21" x14ac:dyDescent="0.5">
      <c r="A175" s="3">
        <v>43455</v>
      </c>
      <c r="B175">
        <v>27.7</v>
      </c>
      <c r="C175">
        <v>35.5</v>
      </c>
      <c r="D175">
        <v>0</v>
      </c>
      <c r="E175">
        <v>18.8</v>
      </c>
      <c r="G175" t="s">
        <v>56</v>
      </c>
      <c r="H175">
        <v>50</v>
      </c>
      <c r="I175" s="4">
        <v>0.5131944444444444</v>
      </c>
      <c r="J175">
        <v>28.4</v>
      </c>
      <c r="K175">
        <v>28</v>
      </c>
      <c r="L175">
        <v>7</v>
      </c>
      <c r="M175" t="s">
        <v>57</v>
      </c>
      <c r="N175">
        <v>30</v>
      </c>
      <c r="O175">
        <v>1011.1</v>
      </c>
      <c r="P175">
        <v>34.4</v>
      </c>
      <c r="Q175">
        <v>21</v>
      </c>
      <c r="S175" t="s">
        <v>50</v>
      </c>
      <c r="T175">
        <v>24</v>
      </c>
      <c r="U175">
        <v>1008.1</v>
      </c>
    </row>
    <row r="176" spans="1:21" x14ac:dyDescent="0.5">
      <c r="A176" s="3">
        <v>43456</v>
      </c>
      <c r="B176">
        <v>23.1</v>
      </c>
      <c r="C176">
        <v>33.9</v>
      </c>
      <c r="D176">
        <v>0</v>
      </c>
      <c r="G176" t="s">
        <v>50</v>
      </c>
      <c r="H176">
        <v>54</v>
      </c>
      <c r="I176" s="4">
        <v>0.4152777777777778</v>
      </c>
      <c r="J176">
        <v>25</v>
      </c>
      <c r="K176">
        <v>23</v>
      </c>
      <c r="L176">
        <v>1</v>
      </c>
      <c r="M176" t="s">
        <v>58</v>
      </c>
      <c r="N176">
        <v>33</v>
      </c>
      <c r="O176">
        <v>1014.1</v>
      </c>
      <c r="P176">
        <v>32.6</v>
      </c>
      <c r="Q176">
        <v>11</v>
      </c>
      <c r="S176" t="s">
        <v>57</v>
      </c>
      <c r="T176">
        <v>24</v>
      </c>
      <c r="U176">
        <v>1010.4</v>
      </c>
    </row>
    <row r="177" spans="1:21" x14ac:dyDescent="0.5">
      <c r="A177" s="3">
        <v>43457</v>
      </c>
      <c r="B177">
        <v>16.899999999999999</v>
      </c>
      <c r="C177">
        <v>34.700000000000003</v>
      </c>
      <c r="D177">
        <v>0</v>
      </c>
      <c r="G177" t="s">
        <v>50</v>
      </c>
      <c r="H177">
        <v>46</v>
      </c>
      <c r="I177" s="4">
        <v>0.5756944444444444</v>
      </c>
      <c r="J177">
        <v>26.2</v>
      </c>
      <c r="K177">
        <v>14</v>
      </c>
      <c r="M177" t="s">
        <v>58</v>
      </c>
      <c r="N177">
        <v>30</v>
      </c>
      <c r="O177">
        <v>1014.4</v>
      </c>
      <c r="P177">
        <v>33.299999999999997</v>
      </c>
      <c r="Q177">
        <v>7</v>
      </c>
      <c r="S177" t="s">
        <v>50</v>
      </c>
      <c r="T177">
        <v>20</v>
      </c>
      <c r="U177">
        <v>1009.4</v>
      </c>
    </row>
    <row r="178" spans="1:21" x14ac:dyDescent="0.5">
      <c r="A178" s="3">
        <v>43458</v>
      </c>
      <c r="B178">
        <v>14.9</v>
      </c>
      <c r="C178">
        <v>37.9</v>
      </c>
      <c r="D178">
        <v>0</v>
      </c>
      <c r="G178" t="s">
        <v>58</v>
      </c>
      <c r="H178">
        <v>41</v>
      </c>
      <c r="I178" s="4">
        <v>0.46388888888888885</v>
      </c>
      <c r="J178">
        <v>29</v>
      </c>
      <c r="K178">
        <v>11</v>
      </c>
      <c r="M178" t="s">
        <v>60</v>
      </c>
      <c r="N178">
        <v>19</v>
      </c>
      <c r="O178">
        <v>1012.3</v>
      </c>
      <c r="P178">
        <v>36.799999999999997</v>
      </c>
      <c r="Q178">
        <v>6</v>
      </c>
      <c r="S178" t="s">
        <v>58</v>
      </c>
      <c r="T178">
        <v>19</v>
      </c>
      <c r="U178">
        <v>1007.2</v>
      </c>
    </row>
    <row r="179" spans="1:21" x14ac:dyDescent="0.5">
      <c r="A179" s="3">
        <v>43459</v>
      </c>
      <c r="B179">
        <v>16.5</v>
      </c>
      <c r="C179">
        <v>40.700000000000003</v>
      </c>
      <c r="D179">
        <v>0</v>
      </c>
      <c r="G179" t="s">
        <v>61</v>
      </c>
      <c r="H179">
        <v>37</v>
      </c>
      <c r="I179" s="4">
        <v>0.6333333333333333</v>
      </c>
      <c r="J179">
        <v>32</v>
      </c>
      <c r="K179">
        <v>10</v>
      </c>
      <c r="M179" t="s">
        <v>58</v>
      </c>
      <c r="N179">
        <v>19</v>
      </c>
      <c r="O179">
        <v>1011.5</v>
      </c>
      <c r="P179">
        <v>39.6</v>
      </c>
      <c r="Q179">
        <v>6</v>
      </c>
      <c r="S179" t="s">
        <v>54</v>
      </c>
      <c r="T179">
        <v>17</v>
      </c>
      <c r="U179">
        <v>1007.1</v>
      </c>
    </row>
    <row r="180" spans="1:21" x14ac:dyDescent="0.5">
      <c r="A180" s="3">
        <v>43460</v>
      </c>
      <c r="B180">
        <v>22.3</v>
      </c>
      <c r="C180">
        <v>41.9</v>
      </c>
      <c r="D180">
        <v>0</v>
      </c>
      <c r="G180" t="s">
        <v>14</v>
      </c>
      <c r="H180">
        <v>37</v>
      </c>
      <c r="I180" s="4">
        <v>0.3833333333333333</v>
      </c>
      <c r="J180">
        <v>35.700000000000003</v>
      </c>
      <c r="K180">
        <v>15</v>
      </c>
      <c r="M180" t="s">
        <v>14</v>
      </c>
      <c r="N180">
        <v>24</v>
      </c>
      <c r="O180">
        <v>1009.4</v>
      </c>
      <c r="P180">
        <v>40.299999999999997</v>
      </c>
      <c r="Q180">
        <v>10</v>
      </c>
      <c r="R180">
        <v>3</v>
      </c>
      <c r="S180" t="s">
        <v>61</v>
      </c>
      <c r="T180">
        <v>11</v>
      </c>
      <c r="U180">
        <v>1005</v>
      </c>
    </row>
    <row r="181" spans="1:21" x14ac:dyDescent="0.5">
      <c r="A181" s="3">
        <v>43461</v>
      </c>
      <c r="B181">
        <v>22.9</v>
      </c>
      <c r="C181">
        <v>44</v>
      </c>
      <c r="D181">
        <v>0</v>
      </c>
      <c r="G181" t="s">
        <v>50</v>
      </c>
      <c r="H181">
        <v>41</v>
      </c>
      <c r="I181" s="4">
        <v>0.6777777777777777</v>
      </c>
      <c r="J181">
        <v>36.799999999999997</v>
      </c>
      <c r="K181">
        <v>14</v>
      </c>
      <c r="M181" t="s">
        <v>16</v>
      </c>
      <c r="N181">
        <v>26</v>
      </c>
      <c r="O181">
        <v>1007.6</v>
      </c>
      <c r="P181">
        <v>42</v>
      </c>
      <c r="Q181">
        <v>8</v>
      </c>
      <c r="S181" t="s">
        <v>61</v>
      </c>
      <c r="T181">
        <v>20</v>
      </c>
      <c r="U181">
        <v>1002.1</v>
      </c>
    </row>
    <row r="182" spans="1:21" x14ac:dyDescent="0.5">
      <c r="A182" s="3">
        <v>43462</v>
      </c>
      <c r="B182">
        <v>28.9</v>
      </c>
      <c r="C182">
        <v>43.7</v>
      </c>
      <c r="D182">
        <v>0</v>
      </c>
      <c r="G182" t="s">
        <v>61</v>
      </c>
      <c r="H182">
        <v>46</v>
      </c>
      <c r="I182" s="4">
        <v>0.5083333333333333</v>
      </c>
      <c r="J182">
        <v>37.5</v>
      </c>
      <c r="K182">
        <v>12</v>
      </c>
      <c r="M182" t="s">
        <v>16</v>
      </c>
      <c r="N182">
        <v>30</v>
      </c>
      <c r="O182">
        <v>1005.2</v>
      </c>
      <c r="P182">
        <v>42.4</v>
      </c>
      <c r="Q182">
        <v>8</v>
      </c>
      <c r="S182" t="s">
        <v>61</v>
      </c>
      <c r="T182">
        <v>20</v>
      </c>
      <c r="U182">
        <v>1000.5</v>
      </c>
    </row>
    <row r="183" spans="1:21" x14ac:dyDescent="0.5">
      <c r="A183" s="3">
        <v>43463</v>
      </c>
      <c r="B183">
        <v>27.3</v>
      </c>
      <c r="C183">
        <v>45.6</v>
      </c>
      <c r="D183">
        <v>0</v>
      </c>
      <c r="G183" t="s">
        <v>17</v>
      </c>
      <c r="H183">
        <v>44</v>
      </c>
      <c r="I183" s="4">
        <v>0.3923611111111111</v>
      </c>
      <c r="J183">
        <v>36.5</v>
      </c>
      <c r="K183">
        <v>20</v>
      </c>
      <c r="M183" t="s">
        <v>15</v>
      </c>
      <c r="N183">
        <v>30</v>
      </c>
      <c r="O183">
        <v>1004.3</v>
      </c>
      <c r="P183">
        <v>44</v>
      </c>
      <c r="Q183">
        <v>10</v>
      </c>
      <c r="S183" t="s">
        <v>61</v>
      </c>
      <c r="T183">
        <v>19</v>
      </c>
      <c r="U183">
        <v>1000.7</v>
      </c>
    </row>
    <row r="184" spans="1:21" x14ac:dyDescent="0.5">
      <c r="A184" s="3">
        <v>43464</v>
      </c>
      <c r="B184">
        <v>28.6</v>
      </c>
      <c r="C184">
        <v>44.4</v>
      </c>
      <c r="D184">
        <v>0</v>
      </c>
      <c r="G184" t="s">
        <v>58</v>
      </c>
      <c r="H184">
        <v>44</v>
      </c>
      <c r="I184" s="4">
        <v>0.76111111111111107</v>
      </c>
      <c r="J184">
        <v>38.6</v>
      </c>
      <c r="K184">
        <v>14</v>
      </c>
      <c r="M184" t="s">
        <v>16</v>
      </c>
      <c r="N184">
        <v>24</v>
      </c>
      <c r="O184">
        <v>1006.3</v>
      </c>
      <c r="P184">
        <v>42.7</v>
      </c>
      <c r="Q184">
        <v>10</v>
      </c>
      <c r="S184" t="s">
        <v>58</v>
      </c>
      <c r="T184">
        <v>15</v>
      </c>
      <c r="U184">
        <v>1002.4</v>
      </c>
    </row>
    <row r="185" spans="1:21" x14ac:dyDescent="0.5">
      <c r="A185" s="3">
        <v>43465</v>
      </c>
      <c r="B185">
        <v>25.8</v>
      </c>
      <c r="C185">
        <v>45.1</v>
      </c>
      <c r="D185">
        <v>0</v>
      </c>
      <c r="G185" t="s">
        <v>56</v>
      </c>
      <c r="H185">
        <v>48</v>
      </c>
      <c r="I185" s="4">
        <v>0.64583333333333337</v>
      </c>
      <c r="J185">
        <v>37.799999999999997</v>
      </c>
      <c r="K185">
        <v>14</v>
      </c>
      <c r="M185" t="s">
        <v>16</v>
      </c>
      <c r="N185">
        <v>24</v>
      </c>
      <c r="O185">
        <v>1006.9</v>
      </c>
      <c r="P185">
        <v>43.6</v>
      </c>
      <c r="Q185">
        <v>9</v>
      </c>
      <c r="S185" t="s">
        <v>57</v>
      </c>
      <c r="T185">
        <v>28</v>
      </c>
      <c r="U185">
        <v>1002.6</v>
      </c>
    </row>
    <row r="186" spans="1:21" x14ac:dyDescent="0.5">
      <c r="A186" s="3">
        <v>43466</v>
      </c>
      <c r="B186">
        <v>26.6</v>
      </c>
      <c r="C186">
        <v>43.5</v>
      </c>
      <c r="D186">
        <v>0</v>
      </c>
      <c r="G186" t="s">
        <v>55</v>
      </c>
      <c r="H186">
        <v>41</v>
      </c>
      <c r="I186" s="4">
        <v>0.59166666666666667</v>
      </c>
      <c r="J186">
        <v>35.299999999999997</v>
      </c>
      <c r="K186">
        <v>17</v>
      </c>
      <c r="M186" t="s">
        <v>57</v>
      </c>
      <c r="N186">
        <v>11</v>
      </c>
      <c r="O186">
        <v>1007.1</v>
      </c>
      <c r="P186">
        <v>42.5</v>
      </c>
      <c r="Q186">
        <v>10</v>
      </c>
      <c r="S186" t="s">
        <v>53</v>
      </c>
      <c r="T186">
        <v>17</v>
      </c>
      <c r="U186">
        <v>1002.7</v>
      </c>
    </row>
    <row r="187" spans="1:21" x14ac:dyDescent="0.5">
      <c r="A187" s="3">
        <v>43467</v>
      </c>
      <c r="B187">
        <v>24</v>
      </c>
      <c r="C187">
        <v>43.3</v>
      </c>
      <c r="D187">
        <v>0</v>
      </c>
      <c r="G187" t="s">
        <v>17</v>
      </c>
      <c r="H187">
        <v>35</v>
      </c>
      <c r="I187" s="4">
        <v>0.5</v>
      </c>
      <c r="J187">
        <v>35.700000000000003</v>
      </c>
      <c r="K187">
        <v>11</v>
      </c>
      <c r="M187" t="s">
        <v>60</v>
      </c>
      <c r="N187">
        <v>4</v>
      </c>
      <c r="O187">
        <v>1006.4</v>
      </c>
      <c r="P187">
        <v>42.2</v>
      </c>
      <c r="Q187">
        <v>9</v>
      </c>
      <c r="S187" t="s">
        <v>59</v>
      </c>
      <c r="T187">
        <v>13</v>
      </c>
      <c r="U187">
        <v>1001.7</v>
      </c>
    </row>
    <row r="188" spans="1:21" x14ac:dyDescent="0.5">
      <c r="A188" s="3">
        <v>43468</v>
      </c>
      <c r="B188">
        <v>27.9</v>
      </c>
      <c r="C188">
        <v>45.6</v>
      </c>
      <c r="D188">
        <v>0</v>
      </c>
      <c r="E188">
        <v>18.399999999999999</v>
      </c>
      <c r="G188" t="s">
        <v>54</v>
      </c>
      <c r="H188">
        <v>52</v>
      </c>
      <c r="I188" s="4">
        <v>0.66319444444444442</v>
      </c>
      <c r="J188">
        <v>37.299999999999997</v>
      </c>
      <c r="K188">
        <v>10</v>
      </c>
      <c r="M188" t="s">
        <v>60</v>
      </c>
      <c r="N188">
        <v>7</v>
      </c>
      <c r="O188">
        <v>1005.9</v>
      </c>
      <c r="P188">
        <v>43.6</v>
      </c>
      <c r="Q188">
        <v>6</v>
      </c>
      <c r="S188" t="s">
        <v>54</v>
      </c>
      <c r="T188">
        <v>19</v>
      </c>
      <c r="U188">
        <v>1002.1</v>
      </c>
    </row>
    <row r="189" spans="1:21" x14ac:dyDescent="0.5">
      <c r="A189" s="3">
        <v>43469</v>
      </c>
      <c r="B189">
        <v>26.4</v>
      </c>
      <c r="C189">
        <v>45.1</v>
      </c>
      <c r="D189">
        <v>0</v>
      </c>
      <c r="E189">
        <v>19</v>
      </c>
      <c r="G189" t="s">
        <v>50</v>
      </c>
      <c r="H189">
        <v>43</v>
      </c>
      <c r="I189" s="4">
        <v>0.60555555555555551</v>
      </c>
      <c r="J189">
        <v>35.700000000000003</v>
      </c>
      <c r="K189">
        <v>22</v>
      </c>
      <c r="M189" t="s">
        <v>17</v>
      </c>
      <c r="N189">
        <v>28</v>
      </c>
      <c r="O189">
        <v>1005.2</v>
      </c>
      <c r="P189">
        <v>43.8</v>
      </c>
      <c r="Q189">
        <v>7</v>
      </c>
      <c r="R189">
        <v>1</v>
      </c>
      <c r="S189" t="s">
        <v>50</v>
      </c>
      <c r="T189">
        <v>24</v>
      </c>
      <c r="U189">
        <v>1002.2</v>
      </c>
    </row>
    <row r="190" spans="1:21" x14ac:dyDescent="0.5">
      <c r="A190" s="3">
        <v>43470</v>
      </c>
      <c r="B190">
        <v>28.6</v>
      </c>
      <c r="C190">
        <v>38.4</v>
      </c>
      <c r="D190">
        <v>0</v>
      </c>
      <c r="G190" t="s">
        <v>55</v>
      </c>
      <c r="H190">
        <v>59</v>
      </c>
      <c r="I190" s="4">
        <v>0.49722222222222223</v>
      </c>
      <c r="J190">
        <v>31.4</v>
      </c>
      <c r="K190">
        <v>26</v>
      </c>
      <c r="M190" t="s">
        <v>55</v>
      </c>
      <c r="N190">
        <v>26</v>
      </c>
      <c r="O190">
        <v>1010.5</v>
      </c>
      <c r="P190">
        <v>36.200000000000003</v>
      </c>
      <c r="Q190">
        <v>19</v>
      </c>
      <c r="S190" t="s">
        <v>56</v>
      </c>
      <c r="T190">
        <v>22</v>
      </c>
      <c r="U190">
        <v>1008</v>
      </c>
    </row>
    <row r="191" spans="1:21" x14ac:dyDescent="0.5">
      <c r="A191" s="3">
        <v>43471</v>
      </c>
      <c r="B191">
        <v>21.4</v>
      </c>
      <c r="C191">
        <v>36</v>
      </c>
      <c r="D191">
        <v>0</v>
      </c>
      <c r="G191" t="s">
        <v>57</v>
      </c>
      <c r="H191">
        <v>41</v>
      </c>
      <c r="I191" s="4">
        <v>0.50069444444444444</v>
      </c>
      <c r="J191">
        <v>26.8</v>
      </c>
      <c r="K191">
        <v>19</v>
      </c>
      <c r="M191" t="s">
        <v>57</v>
      </c>
      <c r="N191">
        <v>20</v>
      </c>
      <c r="O191">
        <v>1012.9</v>
      </c>
      <c r="P191">
        <v>34</v>
      </c>
      <c r="Q191">
        <v>14</v>
      </c>
      <c r="S191" t="s">
        <v>57</v>
      </c>
      <c r="T191">
        <v>11</v>
      </c>
      <c r="U191">
        <v>1009.2</v>
      </c>
    </row>
    <row r="192" spans="1:21" x14ac:dyDescent="0.5">
      <c r="A192" s="3">
        <v>43472</v>
      </c>
      <c r="B192">
        <v>20.3</v>
      </c>
      <c r="C192">
        <v>37.299999999999997</v>
      </c>
      <c r="D192">
        <v>0</v>
      </c>
      <c r="G192" t="s">
        <v>56</v>
      </c>
      <c r="H192">
        <v>35</v>
      </c>
      <c r="I192" s="4">
        <v>0.65069444444444446</v>
      </c>
      <c r="J192">
        <v>28.9</v>
      </c>
      <c r="K192">
        <v>14</v>
      </c>
      <c r="M192" t="s">
        <v>58</v>
      </c>
      <c r="N192">
        <v>17</v>
      </c>
      <c r="O192">
        <v>1011.4</v>
      </c>
      <c r="P192">
        <v>35.9</v>
      </c>
      <c r="Q192">
        <v>10</v>
      </c>
      <c r="S192" t="s">
        <v>54</v>
      </c>
      <c r="T192">
        <v>13</v>
      </c>
      <c r="U192">
        <v>1007.2</v>
      </c>
    </row>
    <row r="193" spans="1:21" x14ac:dyDescent="0.5">
      <c r="A193" s="3">
        <v>43473</v>
      </c>
      <c r="B193">
        <v>17.8</v>
      </c>
      <c r="C193">
        <v>37.9</v>
      </c>
      <c r="D193">
        <v>0</v>
      </c>
      <c r="G193" t="s">
        <v>50</v>
      </c>
      <c r="H193">
        <v>37</v>
      </c>
      <c r="I193" s="4">
        <v>0.44166666666666665</v>
      </c>
      <c r="J193">
        <v>30.2</v>
      </c>
      <c r="K193">
        <v>11</v>
      </c>
      <c r="M193" t="s">
        <v>50</v>
      </c>
      <c r="N193">
        <v>20</v>
      </c>
      <c r="O193">
        <v>1011</v>
      </c>
      <c r="P193">
        <v>37.200000000000003</v>
      </c>
      <c r="Q193">
        <v>8</v>
      </c>
      <c r="S193" t="s">
        <v>55</v>
      </c>
      <c r="T193">
        <v>17</v>
      </c>
      <c r="U193">
        <v>1007.4</v>
      </c>
    </row>
    <row r="194" spans="1:21" x14ac:dyDescent="0.5">
      <c r="A194" s="3">
        <v>43474</v>
      </c>
      <c r="B194">
        <v>18.3</v>
      </c>
      <c r="C194">
        <v>37.799999999999997</v>
      </c>
      <c r="D194">
        <v>0</v>
      </c>
      <c r="E194">
        <v>32</v>
      </c>
      <c r="G194" t="s">
        <v>50</v>
      </c>
      <c r="H194">
        <v>61</v>
      </c>
      <c r="I194" s="4">
        <v>0.56527777777777777</v>
      </c>
      <c r="J194">
        <v>30.1</v>
      </c>
      <c r="K194">
        <v>13</v>
      </c>
      <c r="M194" t="s">
        <v>50</v>
      </c>
      <c r="N194">
        <v>31</v>
      </c>
      <c r="O194">
        <v>1010.8</v>
      </c>
      <c r="P194">
        <v>36.6</v>
      </c>
      <c r="Q194">
        <v>9</v>
      </c>
      <c r="S194" t="s">
        <v>50</v>
      </c>
      <c r="T194">
        <v>26</v>
      </c>
      <c r="U194">
        <v>1007.2</v>
      </c>
    </row>
    <row r="195" spans="1:21" x14ac:dyDescent="0.5">
      <c r="A195" s="3">
        <v>43475</v>
      </c>
      <c r="B195">
        <v>18.5</v>
      </c>
      <c r="C195">
        <v>39.4</v>
      </c>
      <c r="D195">
        <v>0</v>
      </c>
      <c r="E195">
        <v>15.6</v>
      </c>
      <c r="G195" t="s">
        <v>57</v>
      </c>
      <c r="H195">
        <v>52</v>
      </c>
      <c r="I195" s="4">
        <v>0.61736111111111114</v>
      </c>
      <c r="J195">
        <v>31.6</v>
      </c>
      <c r="K195">
        <v>14</v>
      </c>
      <c r="M195" t="s">
        <v>58</v>
      </c>
      <c r="N195">
        <v>22</v>
      </c>
      <c r="O195">
        <v>1010.5</v>
      </c>
      <c r="P195">
        <v>37.9</v>
      </c>
      <c r="Q195">
        <v>7</v>
      </c>
      <c r="S195" t="s">
        <v>56</v>
      </c>
      <c r="T195">
        <v>24</v>
      </c>
      <c r="U195">
        <v>1006</v>
      </c>
    </row>
    <row r="196" spans="1:21" x14ac:dyDescent="0.5">
      <c r="A196" s="3">
        <v>43476</v>
      </c>
      <c r="B196">
        <v>22</v>
      </c>
      <c r="C196">
        <v>42.7</v>
      </c>
      <c r="D196">
        <v>0</v>
      </c>
      <c r="G196" t="s">
        <v>61</v>
      </c>
      <c r="H196">
        <v>44</v>
      </c>
      <c r="I196" s="4">
        <v>0.38680555555555557</v>
      </c>
      <c r="J196">
        <v>34.9</v>
      </c>
      <c r="K196">
        <v>21</v>
      </c>
      <c r="M196" t="s">
        <v>61</v>
      </c>
      <c r="N196">
        <v>28</v>
      </c>
      <c r="O196">
        <v>1008.9</v>
      </c>
      <c r="P196">
        <v>40.799999999999997</v>
      </c>
      <c r="Q196">
        <v>13</v>
      </c>
      <c r="R196">
        <v>2</v>
      </c>
      <c r="S196" t="s">
        <v>56</v>
      </c>
      <c r="T196">
        <v>13</v>
      </c>
      <c r="U196">
        <v>1005.1</v>
      </c>
    </row>
    <row r="197" spans="1:21" x14ac:dyDescent="0.5">
      <c r="A197" s="3">
        <v>43477</v>
      </c>
      <c r="B197">
        <v>25.2</v>
      </c>
      <c r="C197">
        <v>44.4</v>
      </c>
      <c r="D197">
        <v>0</v>
      </c>
      <c r="G197" t="s">
        <v>50</v>
      </c>
      <c r="H197">
        <v>83</v>
      </c>
      <c r="I197" s="4">
        <v>0.61041666666666672</v>
      </c>
      <c r="J197">
        <v>36.9</v>
      </c>
      <c r="K197">
        <v>22</v>
      </c>
      <c r="M197" t="s">
        <v>61</v>
      </c>
      <c r="N197">
        <v>19</v>
      </c>
      <c r="O197">
        <v>1010.7</v>
      </c>
      <c r="P197">
        <v>40.200000000000003</v>
      </c>
      <c r="Q197">
        <v>14</v>
      </c>
      <c r="R197">
        <v>6</v>
      </c>
      <c r="S197" t="s">
        <v>57</v>
      </c>
      <c r="T197">
        <v>15</v>
      </c>
      <c r="U197">
        <v>1008.1</v>
      </c>
    </row>
    <row r="198" spans="1:21" x14ac:dyDescent="0.5">
      <c r="A198" s="3">
        <v>43478</v>
      </c>
      <c r="B198">
        <v>23.8</v>
      </c>
      <c r="C198">
        <v>43.3</v>
      </c>
      <c r="D198">
        <v>3.2</v>
      </c>
      <c r="G198" t="s">
        <v>50</v>
      </c>
      <c r="H198">
        <v>67</v>
      </c>
      <c r="I198" s="4">
        <v>0.62708333333333333</v>
      </c>
      <c r="J198">
        <v>35.700000000000003</v>
      </c>
      <c r="K198">
        <v>19</v>
      </c>
      <c r="M198" t="s">
        <v>50</v>
      </c>
      <c r="N198">
        <v>26</v>
      </c>
      <c r="O198">
        <v>1010.6</v>
      </c>
      <c r="P198">
        <v>41</v>
      </c>
      <c r="Q198">
        <v>11</v>
      </c>
      <c r="R198">
        <v>8</v>
      </c>
      <c r="S198" t="s">
        <v>50</v>
      </c>
      <c r="T198">
        <v>33</v>
      </c>
      <c r="U198">
        <v>1006.2</v>
      </c>
    </row>
    <row r="199" spans="1:21" x14ac:dyDescent="0.5">
      <c r="A199" s="3">
        <v>43479</v>
      </c>
      <c r="B199">
        <v>25.1</v>
      </c>
      <c r="C199">
        <v>43.6</v>
      </c>
      <c r="D199">
        <v>0.6</v>
      </c>
      <c r="E199">
        <v>18.8</v>
      </c>
      <c r="G199" t="s">
        <v>61</v>
      </c>
      <c r="H199">
        <v>57</v>
      </c>
      <c r="I199" s="4">
        <v>0.65347222222222223</v>
      </c>
      <c r="J199">
        <v>37</v>
      </c>
      <c r="K199">
        <v>13</v>
      </c>
      <c r="M199" t="s">
        <v>16</v>
      </c>
      <c r="N199">
        <v>11</v>
      </c>
      <c r="O199">
        <v>1007.8</v>
      </c>
      <c r="P199">
        <v>42.2</v>
      </c>
      <c r="Q199">
        <v>9</v>
      </c>
      <c r="R199">
        <v>1</v>
      </c>
      <c r="S199" t="s">
        <v>58</v>
      </c>
      <c r="T199">
        <v>22</v>
      </c>
      <c r="U199">
        <v>1003.9</v>
      </c>
    </row>
    <row r="200" spans="1:21" x14ac:dyDescent="0.5">
      <c r="A200" s="3">
        <v>43480</v>
      </c>
      <c r="B200">
        <v>25.2</v>
      </c>
      <c r="C200">
        <v>44.1</v>
      </c>
      <c r="D200">
        <v>0</v>
      </c>
      <c r="G200" t="s">
        <v>61</v>
      </c>
      <c r="H200">
        <v>46</v>
      </c>
      <c r="I200" s="4">
        <v>0.63611111111111118</v>
      </c>
      <c r="J200">
        <v>37.700000000000003</v>
      </c>
      <c r="K200">
        <v>15</v>
      </c>
      <c r="M200" t="s">
        <v>16</v>
      </c>
      <c r="N200">
        <v>4</v>
      </c>
      <c r="O200">
        <v>1007.9</v>
      </c>
      <c r="P200">
        <v>42.7</v>
      </c>
      <c r="Q200">
        <v>9</v>
      </c>
      <c r="R200">
        <v>3</v>
      </c>
      <c r="S200" t="s">
        <v>58</v>
      </c>
      <c r="T200">
        <v>20</v>
      </c>
      <c r="U200">
        <v>1003.6</v>
      </c>
    </row>
    <row r="201" spans="1:21" x14ac:dyDescent="0.5">
      <c r="A201" s="3">
        <v>43481</v>
      </c>
      <c r="B201">
        <v>27.9</v>
      </c>
      <c r="C201">
        <v>44.1</v>
      </c>
      <c r="D201">
        <v>0</v>
      </c>
      <c r="E201">
        <v>35.6</v>
      </c>
      <c r="G201" t="s">
        <v>61</v>
      </c>
      <c r="H201">
        <v>48</v>
      </c>
      <c r="I201" s="4">
        <v>0.65625</v>
      </c>
      <c r="J201">
        <v>37.5</v>
      </c>
      <c r="K201">
        <v>15</v>
      </c>
      <c r="M201" t="s">
        <v>16</v>
      </c>
      <c r="N201">
        <v>24</v>
      </c>
      <c r="O201">
        <v>1007.6</v>
      </c>
      <c r="P201">
        <v>41.8</v>
      </c>
      <c r="Q201">
        <v>9</v>
      </c>
      <c r="R201">
        <v>6</v>
      </c>
      <c r="S201" t="s">
        <v>59</v>
      </c>
      <c r="T201">
        <v>9</v>
      </c>
      <c r="U201">
        <v>1002.4</v>
      </c>
    </row>
    <row r="202" spans="1:21" x14ac:dyDescent="0.5">
      <c r="A202" s="3">
        <v>43482</v>
      </c>
      <c r="B202">
        <v>30.4</v>
      </c>
      <c r="C202">
        <v>42.4</v>
      </c>
      <c r="D202">
        <v>0</v>
      </c>
      <c r="E202">
        <v>19.600000000000001</v>
      </c>
      <c r="G202" t="s">
        <v>15</v>
      </c>
      <c r="H202">
        <v>89</v>
      </c>
      <c r="I202" s="4">
        <v>0.6069444444444444</v>
      </c>
      <c r="J202">
        <v>35.700000000000003</v>
      </c>
      <c r="K202">
        <v>25</v>
      </c>
      <c r="M202" t="s">
        <v>15</v>
      </c>
      <c r="N202">
        <v>20</v>
      </c>
      <c r="O202">
        <v>1006.3</v>
      </c>
      <c r="P202">
        <v>35.5</v>
      </c>
      <c r="Q202">
        <v>30</v>
      </c>
      <c r="R202">
        <v>8</v>
      </c>
      <c r="S202" t="s">
        <v>19</v>
      </c>
      <c r="T202">
        <v>13</v>
      </c>
      <c r="U202">
        <v>1002.7</v>
      </c>
    </row>
    <row r="203" spans="1:21" x14ac:dyDescent="0.5">
      <c r="A203" s="3">
        <v>43483</v>
      </c>
      <c r="B203">
        <v>26.2</v>
      </c>
      <c r="C203">
        <v>42.7</v>
      </c>
      <c r="D203">
        <v>7.8</v>
      </c>
      <c r="G203" t="s">
        <v>55</v>
      </c>
      <c r="H203">
        <v>57</v>
      </c>
      <c r="I203" s="4">
        <v>0.87916666666666676</v>
      </c>
      <c r="J203">
        <v>34.9</v>
      </c>
      <c r="K203">
        <v>29</v>
      </c>
      <c r="M203" t="s">
        <v>19</v>
      </c>
      <c r="N203">
        <v>15</v>
      </c>
      <c r="O203">
        <v>1005.9</v>
      </c>
      <c r="P203">
        <v>40.1</v>
      </c>
      <c r="Q203">
        <v>13</v>
      </c>
      <c r="R203">
        <v>6</v>
      </c>
      <c r="S203" t="s">
        <v>18</v>
      </c>
      <c r="T203">
        <v>15</v>
      </c>
      <c r="U203">
        <v>1003.4</v>
      </c>
    </row>
    <row r="204" spans="1:21" x14ac:dyDescent="0.5">
      <c r="A204" s="3">
        <v>43484</v>
      </c>
      <c r="B204">
        <v>27.5</v>
      </c>
      <c r="C204">
        <v>42.8</v>
      </c>
      <c r="D204">
        <v>0</v>
      </c>
      <c r="G204" t="s">
        <v>58</v>
      </c>
      <c r="H204">
        <v>65</v>
      </c>
      <c r="I204" s="4">
        <v>0.57500000000000007</v>
      </c>
      <c r="J204">
        <v>32.799999999999997</v>
      </c>
      <c r="K204">
        <v>28</v>
      </c>
      <c r="M204" t="s">
        <v>50</v>
      </c>
      <c r="N204">
        <v>20</v>
      </c>
      <c r="O204">
        <v>1010.6</v>
      </c>
      <c r="P204">
        <v>41.3</v>
      </c>
      <c r="Q204">
        <v>14</v>
      </c>
      <c r="R204">
        <v>2</v>
      </c>
      <c r="S204" t="s">
        <v>58</v>
      </c>
      <c r="T204">
        <v>22</v>
      </c>
      <c r="U204">
        <v>1006.8</v>
      </c>
    </row>
    <row r="205" spans="1:21" x14ac:dyDescent="0.5">
      <c r="A205" s="3">
        <v>43485</v>
      </c>
      <c r="B205">
        <v>25.8</v>
      </c>
      <c r="C205">
        <v>43.4</v>
      </c>
      <c r="D205">
        <v>0</v>
      </c>
      <c r="G205" t="s">
        <v>50</v>
      </c>
      <c r="H205">
        <v>59</v>
      </c>
      <c r="I205" s="4">
        <v>0.62638888888888888</v>
      </c>
      <c r="J205">
        <v>35.5</v>
      </c>
      <c r="K205">
        <v>22</v>
      </c>
      <c r="M205" t="s">
        <v>50</v>
      </c>
      <c r="N205">
        <v>24</v>
      </c>
      <c r="O205">
        <v>1010.6</v>
      </c>
      <c r="P205">
        <v>42.1</v>
      </c>
      <c r="Q205">
        <v>9</v>
      </c>
      <c r="S205" t="s">
        <v>50</v>
      </c>
      <c r="T205">
        <v>28</v>
      </c>
      <c r="U205">
        <v>1006</v>
      </c>
    </row>
    <row r="206" spans="1:21" x14ac:dyDescent="0.5">
      <c r="A206" s="3">
        <v>43486</v>
      </c>
      <c r="B206">
        <v>25.6</v>
      </c>
      <c r="C206">
        <v>43.1</v>
      </c>
      <c r="D206">
        <v>0</v>
      </c>
      <c r="G206" t="s">
        <v>58</v>
      </c>
      <c r="H206">
        <v>61</v>
      </c>
      <c r="I206" s="4">
        <v>0.54652777777777783</v>
      </c>
      <c r="J206">
        <v>36.9</v>
      </c>
      <c r="K206">
        <v>13</v>
      </c>
      <c r="M206" t="s">
        <v>61</v>
      </c>
      <c r="N206">
        <v>20</v>
      </c>
      <c r="O206">
        <v>1008.7</v>
      </c>
      <c r="P206">
        <v>42.1</v>
      </c>
      <c r="Q206">
        <v>8</v>
      </c>
      <c r="S206" t="s">
        <v>61</v>
      </c>
      <c r="T206">
        <v>33</v>
      </c>
      <c r="U206">
        <v>1005.2</v>
      </c>
    </row>
    <row r="207" spans="1:21" x14ac:dyDescent="0.5">
      <c r="A207" s="3">
        <v>43487</v>
      </c>
      <c r="B207">
        <v>26.9</v>
      </c>
      <c r="C207">
        <v>43.4</v>
      </c>
      <c r="D207">
        <v>0</v>
      </c>
      <c r="E207">
        <v>22.2</v>
      </c>
      <c r="G207" t="s">
        <v>58</v>
      </c>
      <c r="H207">
        <v>59</v>
      </c>
      <c r="I207" s="4">
        <v>0.61597222222222225</v>
      </c>
      <c r="J207">
        <v>37.200000000000003</v>
      </c>
      <c r="K207">
        <v>15</v>
      </c>
      <c r="M207" t="s">
        <v>16</v>
      </c>
      <c r="N207">
        <v>20</v>
      </c>
      <c r="O207">
        <v>1008</v>
      </c>
      <c r="P207">
        <v>43</v>
      </c>
      <c r="Q207">
        <v>9</v>
      </c>
      <c r="R207">
        <v>2</v>
      </c>
      <c r="S207" t="s">
        <v>61</v>
      </c>
      <c r="T207">
        <v>19</v>
      </c>
      <c r="U207">
        <v>1004.6</v>
      </c>
    </row>
    <row r="208" spans="1:21" x14ac:dyDescent="0.5">
      <c r="A208" s="3">
        <v>43488</v>
      </c>
      <c r="B208">
        <v>26.5</v>
      </c>
      <c r="C208">
        <v>43.5</v>
      </c>
      <c r="D208">
        <v>0</v>
      </c>
      <c r="E208">
        <v>18.600000000000001</v>
      </c>
      <c r="G208" t="s">
        <v>61</v>
      </c>
      <c r="H208">
        <v>50</v>
      </c>
      <c r="I208" s="4">
        <v>0.48472222222222222</v>
      </c>
      <c r="J208">
        <v>36.4</v>
      </c>
      <c r="K208">
        <v>19</v>
      </c>
      <c r="M208" t="s">
        <v>15</v>
      </c>
      <c r="N208">
        <v>20</v>
      </c>
      <c r="O208">
        <v>1007.8</v>
      </c>
      <c r="P208">
        <v>42.1</v>
      </c>
      <c r="Q208">
        <v>11</v>
      </c>
      <c r="R208">
        <v>1</v>
      </c>
      <c r="S208" t="s">
        <v>16</v>
      </c>
      <c r="T208">
        <v>19</v>
      </c>
      <c r="U208">
        <v>1003.6</v>
      </c>
    </row>
    <row r="209" spans="1:21" x14ac:dyDescent="0.5">
      <c r="A209" s="3">
        <v>43489</v>
      </c>
      <c r="B209">
        <v>27.9</v>
      </c>
      <c r="C209">
        <v>44.6</v>
      </c>
      <c r="D209">
        <v>0</v>
      </c>
      <c r="E209">
        <v>19.8</v>
      </c>
      <c r="G209" t="s">
        <v>61</v>
      </c>
      <c r="H209">
        <v>56</v>
      </c>
      <c r="I209" s="4">
        <v>0.57500000000000007</v>
      </c>
      <c r="J209">
        <v>37.799999999999997</v>
      </c>
      <c r="K209">
        <v>15</v>
      </c>
      <c r="M209" t="s">
        <v>16</v>
      </c>
      <c r="N209">
        <v>31</v>
      </c>
      <c r="O209">
        <v>1006</v>
      </c>
      <c r="P209">
        <v>42.7</v>
      </c>
      <c r="Q209">
        <v>9</v>
      </c>
      <c r="R209">
        <v>3</v>
      </c>
      <c r="S209" t="s">
        <v>61</v>
      </c>
      <c r="T209">
        <v>24</v>
      </c>
      <c r="U209">
        <v>1001.7</v>
      </c>
    </row>
    <row r="210" spans="1:21" x14ac:dyDescent="0.5">
      <c r="A210" s="3">
        <v>43490</v>
      </c>
      <c r="B210">
        <v>30.1</v>
      </c>
      <c r="C210">
        <v>42.9</v>
      </c>
      <c r="D210">
        <v>0</v>
      </c>
      <c r="E210">
        <v>22</v>
      </c>
      <c r="G210" t="s">
        <v>57</v>
      </c>
      <c r="H210">
        <v>59</v>
      </c>
      <c r="I210" s="4">
        <v>0.52986111111111112</v>
      </c>
      <c r="J210">
        <v>36.799999999999997</v>
      </c>
      <c r="K210">
        <v>26</v>
      </c>
      <c r="M210" t="s">
        <v>18</v>
      </c>
      <c r="N210">
        <v>20</v>
      </c>
      <c r="O210">
        <v>1005.6</v>
      </c>
      <c r="P210">
        <v>40.5</v>
      </c>
      <c r="Q210">
        <v>16</v>
      </c>
      <c r="R210">
        <v>4</v>
      </c>
      <c r="S210" t="s">
        <v>16</v>
      </c>
      <c r="T210">
        <v>13</v>
      </c>
      <c r="U210">
        <v>1001.7</v>
      </c>
    </row>
    <row r="211" spans="1:21" x14ac:dyDescent="0.5">
      <c r="A211" s="3">
        <v>43491</v>
      </c>
      <c r="B211">
        <v>27.2</v>
      </c>
      <c r="C211">
        <v>42.5</v>
      </c>
      <c r="D211">
        <v>4</v>
      </c>
      <c r="G211" t="s">
        <v>61</v>
      </c>
      <c r="H211">
        <v>56</v>
      </c>
      <c r="I211" s="4">
        <v>0.70138888888888884</v>
      </c>
      <c r="J211">
        <v>32.9</v>
      </c>
      <c r="K211">
        <v>40</v>
      </c>
      <c r="L211">
        <v>1</v>
      </c>
      <c r="M211" t="s">
        <v>17</v>
      </c>
      <c r="N211">
        <v>9</v>
      </c>
      <c r="O211">
        <v>1006.9</v>
      </c>
      <c r="P211">
        <v>41</v>
      </c>
      <c r="Q211">
        <v>15</v>
      </c>
      <c r="R211">
        <v>8</v>
      </c>
      <c r="S211" t="s">
        <v>50</v>
      </c>
      <c r="T211">
        <v>28</v>
      </c>
      <c r="U211">
        <v>1002.2</v>
      </c>
    </row>
    <row r="212" spans="1:21" x14ac:dyDescent="0.5">
      <c r="A212" s="3">
        <v>43492</v>
      </c>
      <c r="B212">
        <v>27.5</v>
      </c>
      <c r="C212">
        <v>34.799999999999997</v>
      </c>
      <c r="D212">
        <v>0</v>
      </c>
      <c r="G212" t="s">
        <v>50</v>
      </c>
      <c r="H212">
        <v>54</v>
      </c>
      <c r="I212" s="4">
        <v>0.52013888888888882</v>
      </c>
      <c r="J212">
        <v>28.8</v>
      </c>
      <c r="K212">
        <v>32</v>
      </c>
      <c r="L212">
        <v>4</v>
      </c>
      <c r="M212" t="s">
        <v>56</v>
      </c>
      <c r="N212">
        <v>28</v>
      </c>
      <c r="O212">
        <v>1009.2</v>
      </c>
      <c r="P212">
        <v>33.299999999999997</v>
      </c>
      <c r="Q212">
        <v>28</v>
      </c>
      <c r="R212">
        <v>1</v>
      </c>
      <c r="S212" t="s">
        <v>57</v>
      </c>
      <c r="T212">
        <v>30</v>
      </c>
      <c r="U212">
        <v>1006.7</v>
      </c>
    </row>
    <row r="213" spans="1:21" x14ac:dyDescent="0.5">
      <c r="A213" s="3">
        <v>43493</v>
      </c>
      <c r="B213">
        <v>20.6</v>
      </c>
      <c r="C213">
        <v>35</v>
      </c>
      <c r="D213">
        <v>0</v>
      </c>
      <c r="G213" t="s">
        <v>50</v>
      </c>
      <c r="H213">
        <v>48</v>
      </c>
      <c r="I213" s="4">
        <v>0.7284722222222223</v>
      </c>
      <c r="J213">
        <v>23.4</v>
      </c>
      <c r="K213">
        <v>56</v>
      </c>
      <c r="L213">
        <v>7</v>
      </c>
      <c r="M213" t="s">
        <v>57</v>
      </c>
      <c r="N213">
        <v>20</v>
      </c>
      <c r="O213">
        <v>1009.6</v>
      </c>
      <c r="P213">
        <v>33.1</v>
      </c>
      <c r="Q213">
        <v>26</v>
      </c>
      <c r="S213" t="s">
        <v>50</v>
      </c>
      <c r="T213">
        <v>22</v>
      </c>
      <c r="U213">
        <v>1006</v>
      </c>
    </row>
    <row r="214" spans="1:21" x14ac:dyDescent="0.5">
      <c r="A214" s="3">
        <v>43494</v>
      </c>
      <c r="B214">
        <v>23.3</v>
      </c>
      <c r="C214">
        <v>38.700000000000003</v>
      </c>
      <c r="D214">
        <v>0</v>
      </c>
      <c r="G214" t="s">
        <v>58</v>
      </c>
      <c r="H214">
        <v>39</v>
      </c>
      <c r="I214" s="4">
        <v>0.37013888888888885</v>
      </c>
      <c r="J214">
        <v>30.8</v>
      </c>
      <c r="K214">
        <v>30</v>
      </c>
      <c r="M214" t="s">
        <v>58</v>
      </c>
      <c r="N214">
        <v>30</v>
      </c>
      <c r="O214">
        <v>1008.1</v>
      </c>
      <c r="P214">
        <v>37.4</v>
      </c>
      <c r="Q214">
        <v>19</v>
      </c>
      <c r="R214">
        <v>2</v>
      </c>
      <c r="S214" t="s">
        <v>57</v>
      </c>
      <c r="T214">
        <v>20</v>
      </c>
      <c r="U214">
        <v>1003.1</v>
      </c>
    </row>
    <row r="215" spans="1:21" x14ac:dyDescent="0.5">
      <c r="A215" s="3">
        <v>43495</v>
      </c>
      <c r="B215">
        <v>25.9</v>
      </c>
      <c r="C215">
        <v>41.2</v>
      </c>
      <c r="D215">
        <v>0</v>
      </c>
      <c r="G215" t="s">
        <v>55</v>
      </c>
      <c r="H215">
        <v>41</v>
      </c>
      <c r="I215" s="4">
        <v>0.58958333333333335</v>
      </c>
      <c r="J215">
        <v>33.799999999999997</v>
      </c>
      <c r="K215">
        <v>25</v>
      </c>
      <c r="M215" t="s">
        <v>50</v>
      </c>
      <c r="N215">
        <v>11</v>
      </c>
      <c r="O215">
        <v>1005.2</v>
      </c>
      <c r="P215">
        <v>40.1</v>
      </c>
      <c r="Q215">
        <v>17</v>
      </c>
      <c r="R215">
        <v>8</v>
      </c>
      <c r="S215" t="s">
        <v>55</v>
      </c>
      <c r="T215">
        <v>24</v>
      </c>
      <c r="U215">
        <v>1001</v>
      </c>
    </row>
    <row r="216" spans="1:21" x14ac:dyDescent="0.5">
      <c r="A216" s="3">
        <v>43496</v>
      </c>
      <c r="B216">
        <v>24.5</v>
      </c>
      <c r="C216">
        <v>40.299999999999997</v>
      </c>
      <c r="D216">
        <v>0</v>
      </c>
      <c r="G216" t="s">
        <v>57</v>
      </c>
      <c r="H216">
        <v>56</v>
      </c>
      <c r="I216" s="4">
        <v>0.65208333333333335</v>
      </c>
      <c r="J216">
        <v>32.9</v>
      </c>
      <c r="K216">
        <v>35</v>
      </c>
      <c r="M216" t="s">
        <v>57</v>
      </c>
      <c r="N216">
        <v>13</v>
      </c>
      <c r="O216">
        <v>1006</v>
      </c>
      <c r="P216">
        <v>38.4</v>
      </c>
      <c r="Q216">
        <v>17</v>
      </c>
      <c r="R216">
        <v>1</v>
      </c>
      <c r="S216" t="s">
        <v>56</v>
      </c>
      <c r="T216">
        <v>30</v>
      </c>
      <c r="U216">
        <v>1002.7</v>
      </c>
    </row>
    <row r="217" spans="1:21" x14ac:dyDescent="0.5">
      <c r="A217" s="3">
        <v>43497</v>
      </c>
      <c r="B217">
        <v>27.6</v>
      </c>
      <c r="C217">
        <v>37.799999999999997</v>
      </c>
      <c r="D217">
        <v>0</v>
      </c>
      <c r="E217">
        <v>22.6</v>
      </c>
      <c r="G217" t="s">
        <v>58</v>
      </c>
      <c r="H217">
        <v>57</v>
      </c>
      <c r="I217" s="4">
        <v>0.78819444444444453</v>
      </c>
      <c r="J217">
        <v>30.3</v>
      </c>
      <c r="K217">
        <v>50</v>
      </c>
      <c r="L217">
        <v>1</v>
      </c>
      <c r="M217" t="s">
        <v>50</v>
      </c>
      <c r="N217">
        <v>30</v>
      </c>
      <c r="O217">
        <v>1007</v>
      </c>
      <c r="P217">
        <v>35.9</v>
      </c>
      <c r="Q217">
        <v>27</v>
      </c>
      <c r="R217">
        <v>1</v>
      </c>
      <c r="S217" t="s">
        <v>57</v>
      </c>
      <c r="T217">
        <v>30</v>
      </c>
      <c r="U217">
        <v>1003.1</v>
      </c>
    </row>
    <row r="218" spans="1:21" x14ac:dyDescent="0.5">
      <c r="A218" s="3">
        <v>43498</v>
      </c>
      <c r="B218">
        <v>23.5</v>
      </c>
      <c r="C218">
        <v>34.9</v>
      </c>
      <c r="D218">
        <v>0</v>
      </c>
      <c r="G218" t="s">
        <v>58</v>
      </c>
      <c r="H218">
        <v>57</v>
      </c>
      <c r="I218" s="4">
        <v>0.74513888888888891</v>
      </c>
      <c r="J218">
        <v>27.5</v>
      </c>
      <c r="K218">
        <v>49</v>
      </c>
      <c r="M218" t="s">
        <v>50</v>
      </c>
      <c r="N218">
        <v>20</v>
      </c>
      <c r="O218">
        <v>1007</v>
      </c>
      <c r="P218">
        <v>31.7</v>
      </c>
      <c r="Q218">
        <v>37</v>
      </c>
      <c r="R218">
        <v>8</v>
      </c>
      <c r="S218" t="s">
        <v>50</v>
      </c>
      <c r="T218">
        <v>24</v>
      </c>
      <c r="U218">
        <v>1003.3</v>
      </c>
    </row>
    <row r="219" spans="1:21" x14ac:dyDescent="0.5">
      <c r="A219" s="3">
        <v>43499</v>
      </c>
      <c r="B219">
        <v>23.9</v>
      </c>
      <c r="C219">
        <v>36.6</v>
      </c>
      <c r="D219">
        <v>0</v>
      </c>
      <c r="G219" t="s">
        <v>58</v>
      </c>
      <c r="H219">
        <v>63</v>
      </c>
      <c r="I219" s="4">
        <v>0.61527777777777781</v>
      </c>
      <c r="J219">
        <v>26.3</v>
      </c>
      <c r="K219">
        <v>66</v>
      </c>
      <c r="L219">
        <v>8</v>
      </c>
      <c r="M219" t="s">
        <v>50</v>
      </c>
      <c r="N219">
        <v>24</v>
      </c>
      <c r="O219">
        <v>1005.9</v>
      </c>
      <c r="P219">
        <v>35.1</v>
      </c>
      <c r="Q219">
        <v>27</v>
      </c>
      <c r="R219">
        <v>3</v>
      </c>
      <c r="S219" t="s">
        <v>50</v>
      </c>
      <c r="T219">
        <v>28</v>
      </c>
      <c r="U219">
        <v>1003.1</v>
      </c>
    </row>
    <row r="220" spans="1:21" x14ac:dyDescent="0.5">
      <c r="A220" s="3">
        <v>43500</v>
      </c>
      <c r="B220">
        <v>22.1</v>
      </c>
      <c r="C220">
        <v>38.700000000000003</v>
      </c>
      <c r="D220">
        <v>0</v>
      </c>
      <c r="E220">
        <v>42.2</v>
      </c>
      <c r="G220" t="s">
        <v>58</v>
      </c>
      <c r="H220">
        <v>54</v>
      </c>
      <c r="I220" s="4">
        <v>0.52152777777777781</v>
      </c>
      <c r="J220">
        <v>31.3</v>
      </c>
      <c r="K220">
        <v>38</v>
      </c>
      <c r="L220">
        <v>0</v>
      </c>
      <c r="M220" t="s">
        <v>58</v>
      </c>
      <c r="N220">
        <v>19</v>
      </c>
      <c r="O220">
        <v>1006.4</v>
      </c>
      <c r="P220">
        <v>37.700000000000003</v>
      </c>
      <c r="Q220">
        <v>19</v>
      </c>
      <c r="R220">
        <v>4</v>
      </c>
      <c r="S220" t="s">
        <v>50</v>
      </c>
      <c r="T220">
        <v>31</v>
      </c>
      <c r="U220">
        <v>1003.1</v>
      </c>
    </row>
    <row r="221" spans="1:21" x14ac:dyDescent="0.5">
      <c r="A221" s="3">
        <v>43501</v>
      </c>
      <c r="B221">
        <v>25.5</v>
      </c>
      <c r="C221">
        <v>40</v>
      </c>
      <c r="D221">
        <v>0</v>
      </c>
      <c r="E221">
        <v>18.8</v>
      </c>
      <c r="G221" t="s">
        <v>50</v>
      </c>
      <c r="H221">
        <v>57</v>
      </c>
      <c r="I221" s="4">
        <v>0.49791666666666662</v>
      </c>
      <c r="J221">
        <v>31</v>
      </c>
      <c r="K221">
        <v>25</v>
      </c>
      <c r="L221">
        <v>0</v>
      </c>
      <c r="M221" t="s">
        <v>57</v>
      </c>
      <c r="N221">
        <v>24</v>
      </c>
      <c r="O221">
        <v>1006.1</v>
      </c>
      <c r="P221">
        <v>38</v>
      </c>
      <c r="Q221">
        <v>15</v>
      </c>
      <c r="R221">
        <v>4</v>
      </c>
      <c r="S221" t="s">
        <v>50</v>
      </c>
      <c r="T221">
        <v>31</v>
      </c>
      <c r="U221">
        <v>1001.5</v>
      </c>
    </row>
    <row r="222" spans="1:21" x14ac:dyDescent="0.5">
      <c r="A222" s="3">
        <v>43502</v>
      </c>
      <c r="B222">
        <v>26.2</v>
      </c>
      <c r="C222">
        <v>40.200000000000003</v>
      </c>
      <c r="D222">
        <v>0</v>
      </c>
      <c r="E222">
        <v>20</v>
      </c>
      <c r="G222" t="s">
        <v>50</v>
      </c>
      <c r="H222">
        <v>50</v>
      </c>
      <c r="I222" s="4">
        <v>0.54652777777777783</v>
      </c>
      <c r="J222">
        <v>30.7</v>
      </c>
      <c r="K222">
        <v>23</v>
      </c>
      <c r="M222" t="s">
        <v>50</v>
      </c>
      <c r="N222">
        <v>17</v>
      </c>
      <c r="O222">
        <v>1006.5</v>
      </c>
      <c r="P222">
        <v>39</v>
      </c>
      <c r="Q222">
        <v>13</v>
      </c>
      <c r="R222">
        <v>0</v>
      </c>
      <c r="S222" t="s">
        <v>57</v>
      </c>
      <c r="T222">
        <v>20</v>
      </c>
      <c r="U222">
        <v>1002.8</v>
      </c>
    </row>
    <row r="223" spans="1:21" x14ac:dyDescent="0.5">
      <c r="A223" s="3">
        <v>43503</v>
      </c>
      <c r="B223">
        <v>24</v>
      </c>
      <c r="C223">
        <v>40.5</v>
      </c>
      <c r="D223">
        <v>0</v>
      </c>
      <c r="E223">
        <v>18.8</v>
      </c>
      <c r="G223" t="s">
        <v>50</v>
      </c>
      <c r="H223">
        <v>59</v>
      </c>
      <c r="I223" s="4">
        <v>0.4597222222222222</v>
      </c>
      <c r="J223">
        <v>33</v>
      </c>
      <c r="K223">
        <v>24</v>
      </c>
      <c r="L223">
        <v>0</v>
      </c>
      <c r="M223" t="s">
        <v>50</v>
      </c>
      <c r="N223">
        <v>28</v>
      </c>
      <c r="O223">
        <v>1008</v>
      </c>
      <c r="P223">
        <v>40</v>
      </c>
      <c r="Q223">
        <v>13</v>
      </c>
      <c r="R223">
        <v>1</v>
      </c>
      <c r="S223" t="s">
        <v>56</v>
      </c>
      <c r="T223">
        <v>19</v>
      </c>
      <c r="U223">
        <v>1004.7</v>
      </c>
    </row>
    <row r="224" spans="1:21" x14ac:dyDescent="0.5">
      <c r="A224" s="3">
        <v>43504</v>
      </c>
      <c r="B224">
        <v>27.2</v>
      </c>
      <c r="C224">
        <v>37</v>
      </c>
      <c r="D224">
        <v>0</v>
      </c>
      <c r="E224">
        <v>22.6</v>
      </c>
      <c r="G224" t="s">
        <v>58</v>
      </c>
      <c r="H224">
        <v>46</v>
      </c>
      <c r="I224" s="4">
        <v>0.48680555555555555</v>
      </c>
      <c r="J224">
        <v>31.5</v>
      </c>
      <c r="K224">
        <v>16</v>
      </c>
      <c r="L224">
        <v>1</v>
      </c>
      <c r="M224" t="s">
        <v>57</v>
      </c>
      <c r="N224">
        <v>24</v>
      </c>
      <c r="O224">
        <v>1008.7</v>
      </c>
      <c r="P224">
        <v>35.299999999999997</v>
      </c>
      <c r="Q224">
        <v>17</v>
      </c>
      <c r="R224">
        <v>0</v>
      </c>
      <c r="S224" t="s">
        <v>57</v>
      </c>
      <c r="T224">
        <v>26</v>
      </c>
      <c r="U224">
        <v>1006.2</v>
      </c>
    </row>
    <row r="225" spans="1:21" x14ac:dyDescent="0.5">
      <c r="A225" s="3">
        <v>43505</v>
      </c>
      <c r="B225">
        <v>21</v>
      </c>
      <c r="C225">
        <v>32.5</v>
      </c>
      <c r="D225">
        <v>0</v>
      </c>
      <c r="G225" t="s">
        <v>50</v>
      </c>
      <c r="H225">
        <v>43</v>
      </c>
      <c r="I225" s="4">
        <v>0.4381944444444445</v>
      </c>
      <c r="J225">
        <v>25.2</v>
      </c>
      <c r="K225">
        <v>25</v>
      </c>
      <c r="M225" t="s">
        <v>56</v>
      </c>
      <c r="N225">
        <v>30</v>
      </c>
      <c r="O225">
        <v>1010.3</v>
      </c>
      <c r="P225">
        <v>31.4</v>
      </c>
      <c r="Q225">
        <v>13</v>
      </c>
      <c r="S225" t="s">
        <v>55</v>
      </c>
      <c r="T225">
        <v>26</v>
      </c>
      <c r="U225">
        <v>1007.1</v>
      </c>
    </row>
    <row r="226" spans="1:21" x14ac:dyDescent="0.5">
      <c r="A226" s="3">
        <v>43506</v>
      </c>
      <c r="B226">
        <v>14.7</v>
      </c>
      <c r="C226">
        <v>34.6</v>
      </c>
      <c r="D226">
        <v>0</v>
      </c>
      <c r="G226" t="s">
        <v>50</v>
      </c>
      <c r="H226">
        <v>35</v>
      </c>
      <c r="I226" s="4">
        <v>0.36319444444444443</v>
      </c>
      <c r="J226">
        <v>25.5</v>
      </c>
      <c r="K226">
        <v>29</v>
      </c>
      <c r="M226" t="s">
        <v>50</v>
      </c>
      <c r="N226">
        <v>22</v>
      </c>
      <c r="O226">
        <v>1011.7</v>
      </c>
      <c r="P226">
        <v>33.1</v>
      </c>
      <c r="Q226">
        <v>13</v>
      </c>
      <c r="S226" t="s">
        <v>56</v>
      </c>
      <c r="T226">
        <v>24</v>
      </c>
      <c r="U226">
        <v>1007.6</v>
      </c>
    </row>
    <row r="227" spans="1:21" x14ac:dyDescent="0.5">
      <c r="A227" s="3">
        <v>43507</v>
      </c>
      <c r="B227">
        <v>17.100000000000001</v>
      </c>
      <c r="C227">
        <v>38.9</v>
      </c>
      <c r="D227">
        <v>0</v>
      </c>
      <c r="E227">
        <v>43</v>
      </c>
      <c r="G227" t="s">
        <v>53</v>
      </c>
      <c r="H227">
        <v>48</v>
      </c>
      <c r="I227" s="4">
        <v>0.52638888888888891</v>
      </c>
      <c r="J227">
        <v>29.4</v>
      </c>
      <c r="K227">
        <v>19</v>
      </c>
      <c r="L227">
        <v>0</v>
      </c>
      <c r="M227" t="s">
        <v>14</v>
      </c>
      <c r="N227">
        <v>4</v>
      </c>
      <c r="O227">
        <v>1010.4</v>
      </c>
      <c r="P227">
        <v>37.299999999999997</v>
      </c>
      <c r="Q227">
        <v>8</v>
      </c>
      <c r="R227">
        <v>0</v>
      </c>
      <c r="S227" t="s">
        <v>53</v>
      </c>
      <c r="T227">
        <v>11</v>
      </c>
      <c r="U227">
        <v>1005.2</v>
      </c>
    </row>
    <row r="228" spans="1:21" x14ac:dyDescent="0.5">
      <c r="A228" s="3">
        <v>43508</v>
      </c>
      <c r="B228">
        <v>18.899999999999999</v>
      </c>
      <c r="C228">
        <v>43</v>
      </c>
      <c r="D228">
        <v>0</v>
      </c>
      <c r="E228">
        <v>22</v>
      </c>
      <c r="G228" t="s">
        <v>55</v>
      </c>
      <c r="H228">
        <v>52</v>
      </c>
      <c r="I228" s="4">
        <v>0.64652777777777781</v>
      </c>
      <c r="J228">
        <v>34</v>
      </c>
      <c r="K228">
        <v>12</v>
      </c>
      <c r="L228">
        <v>0</v>
      </c>
      <c r="M228" t="s">
        <v>14</v>
      </c>
      <c r="N228">
        <v>20</v>
      </c>
      <c r="O228">
        <v>1006.5</v>
      </c>
      <c r="P228">
        <v>40.6</v>
      </c>
      <c r="Q228">
        <v>8</v>
      </c>
      <c r="R228">
        <v>3</v>
      </c>
      <c r="S228" t="s">
        <v>55</v>
      </c>
      <c r="T228">
        <v>24</v>
      </c>
      <c r="U228">
        <v>1003.3</v>
      </c>
    </row>
    <row r="229" spans="1:21" x14ac:dyDescent="0.5">
      <c r="A229" s="3">
        <v>43509</v>
      </c>
      <c r="B229">
        <v>25</v>
      </c>
      <c r="C229">
        <v>32.1</v>
      </c>
      <c r="D229">
        <v>0</v>
      </c>
      <c r="E229">
        <v>21.8</v>
      </c>
      <c r="G229" t="s">
        <v>50</v>
      </c>
      <c r="H229">
        <v>48</v>
      </c>
      <c r="I229" s="4">
        <v>0.42083333333333334</v>
      </c>
      <c r="J229">
        <v>26.5</v>
      </c>
      <c r="K229">
        <v>24</v>
      </c>
      <c r="L229">
        <v>1</v>
      </c>
      <c r="M229" t="s">
        <v>57</v>
      </c>
      <c r="N229">
        <v>31</v>
      </c>
      <c r="O229">
        <v>1012.3</v>
      </c>
      <c r="P229">
        <v>31</v>
      </c>
      <c r="Q229">
        <v>22</v>
      </c>
      <c r="S229" t="s">
        <v>58</v>
      </c>
      <c r="T229">
        <v>22</v>
      </c>
      <c r="U229">
        <v>1010</v>
      </c>
    </row>
    <row r="230" spans="1:21" x14ac:dyDescent="0.5">
      <c r="A230" s="3">
        <v>43510</v>
      </c>
      <c r="B230">
        <v>17.2</v>
      </c>
      <c r="C230">
        <v>32.200000000000003</v>
      </c>
      <c r="D230">
        <v>0</v>
      </c>
      <c r="E230">
        <v>17.600000000000001</v>
      </c>
      <c r="G230" t="s">
        <v>56</v>
      </c>
      <c r="H230">
        <v>44</v>
      </c>
      <c r="I230" s="4">
        <v>0.52916666666666667</v>
      </c>
      <c r="J230">
        <v>22.8</v>
      </c>
      <c r="K230">
        <v>22</v>
      </c>
      <c r="L230">
        <v>0</v>
      </c>
      <c r="M230" t="s">
        <v>58</v>
      </c>
      <c r="N230">
        <v>22</v>
      </c>
      <c r="O230">
        <v>1015.4</v>
      </c>
      <c r="P230">
        <v>30.4</v>
      </c>
      <c r="Q230">
        <v>13</v>
      </c>
      <c r="S230" t="s">
        <v>58</v>
      </c>
      <c r="T230">
        <v>19</v>
      </c>
      <c r="U230">
        <v>1011.6</v>
      </c>
    </row>
    <row r="231" spans="1:21" x14ac:dyDescent="0.5">
      <c r="A231" s="3">
        <v>43511</v>
      </c>
      <c r="B231">
        <v>13.6</v>
      </c>
      <c r="C231">
        <v>33.6</v>
      </c>
      <c r="D231">
        <v>0</v>
      </c>
      <c r="E231">
        <v>14</v>
      </c>
      <c r="G231" t="s">
        <v>57</v>
      </c>
      <c r="H231">
        <v>41</v>
      </c>
      <c r="I231" s="4">
        <v>0.49722222222222223</v>
      </c>
      <c r="J231">
        <v>25.6</v>
      </c>
      <c r="K231">
        <v>15</v>
      </c>
      <c r="L231">
        <v>0</v>
      </c>
      <c r="M231" t="s">
        <v>50</v>
      </c>
      <c r="N231">
        <v>20</v>
      </c>
      <c r="O231">
        <v>1016.7</v>
      </c>
      <c r="P231">
        <v>32.4</v>
      </c>
      <c r="Q231">
        <v>9</v>
      </c>
      <c r="S231" t="s">
        <v>57</v>
      </c>
      <c r="T231">
        <v>20</v>
      </c>
      <c r="U231">
        <v>1012.6</v>
      </c>
    </row>
    <row r="232" spans="1:21" x14ac:dyDescent="0.5">
      <c r="A232" s="3">
        <v>43512</v>
      </c>
      <c r="B232">
        <v>14.1</v>
      </c>
      <c r="C232">
        <v>35.5</v>
      </c>
      <c r="D232">
        <v>0</v>
      </c>
      <c r="G232" t="s">
        <v>50</v>
      </c>
      <c r="H232">
        <v>33</v>
      </c>
      <c r="I232" s="4">
        <v>0.51458333333333328</v>
      </c>
      <c r="J232">
        <v>26.7</v>
      </c>
      <c r="K232">
        <v>11</v>
      </c>
      <c r="M232" t="s">
        <v>61</v>
      </c>
      <c r="N232">
        <v>2</v>
      </c>
      <c r="O232">
        <v>1014.7</v>
      </c>
      <c r="P232">
        <v>34.200000000000003</v>
      </c>
      <c r="Q232">
        <v>6</v>
      </c>
      <c r="S232" t="s">
        <v>56</v>
      </c>
      <c r="T232">
        <v>20</v>
      </c>
      <c r="U232">
        <v>1010.2</v>
      </c>
    </row>
    <row r="233" spans="1:21" x14ac:dyDescent="0.5">
      <c r="A233" s="3">
        <v>43513</v>
      </c>
      <c r="B233">
        <v>15.7</v>
      </c>
      <c r="C233">
        <v>39.1</v>
      </c>
      <c r="D233">
        <v>0</v>
      </c>
      <c r="G233" t="s">
        <v>19</v>
      </c>
      <c r="H233">
        <v>35</v>
      </c>
      <c r="I233" s="4">
        <v>0.51458333333333328</v>
      </c>
      <c r="J233">
        <v>29.9</v>
      </c>
      <c r="K233">
        <v>9</v>
      </c>
      <c r="M233" t="s">
        <v>51</v>
      </c>
      <c r="N233" t="s">
        <v>52</v>
      </c>
      <c r="O233">
        <v>1011.3</v>
      </c>
      <c r="P233">
        <v>37.200000000000003</v>
      </c>
      <c r="Q233">
        <v>5</v>
      </c>
      <c r="S233" t="s">
        <v>54</v>
      </c>
      <c r="T233">
        <v>13</v>
      </c>
      <c r="U233">
        <v>1006.3</v>
      </c>
    </row>
    <row r="234" spans="1:21" x14ac:dyDescent="0.5">
      <c r="A234" s="3">
        <v>43514</v>
      </c>
      <c r="B234">
        <v>18.100000000000001</v>
      </c>
      <c r="C234">
        <v>42</v>
      </c>
      <c r="D234">
        <v>0</v>
      </c>
      <c r="E234">
        <v>39.200000000000003</v>
      </c>
      <c r="G234" t="s">
        <v>57</v>
      </c>
      <c r="H234">
        <v>33</v>
      </c>
      <c r="I234" s="4">
        <v>0.70277777777777783</v>
      </c>
      <c r="J234">
        <v>31.3</v>
      </c>
      <c r="K234">
        <v>10</v>
      </c>
      <c r="M234" t="s">
        <v>15</v>
      </c>
      <c r="N234">
        <v>7</v>
      </c>
      <c r="O234">
        <v>1008.6</v>
      </c>
      <c r="P234">
        <v>40.799999999999997</v>
      </c>
      <c r="Q234">
        <v>6</v>
      </c>
      <c r="S234" t="s">
        <v>59</v>
      </c>
      <c r="T234">
        <v>9</v>
      </c>
      <c r="U234">
        <v>1005</v>
      </c>
    </row>
    <row r="235" spans="1:21" x14ac:dyDescent="0.5">
      <c r="A235" s="3">
        <v>43515</v>
      </c>
      <c r="B235">
        <v>21.2</v>
      </c>
      <c r="C235">
        <v>40.9</v>
      </c>
      <c r="D235">
        <v>0</v>
      </c>
      <c r="E235">
        <v>16</v>
      </c>
      <c r="G235" t="s">
        <v>57</v>
      </c>
      <c r="H235">
        <v>37</v>
      </c>
      <c r="I235" s="4">
        <v>0.80486111111111114</v>
      </c>
      <c r="J235">
        <v>31.3</v>
      </c>
      <c r="K235">
        <v>20</v>
      </c>
      <c r="M235" t="s">
        <v>57</v>
      </c>
      <c r="N235">
        <v>15</v>
      </c>
      <c r="O235">
        <v>1010.9</v>
      </c>
      <c r="P235">
        <v>39</v>
      </c>
      <c r="Q235">
        <v>11</v>
      </c>
      <c r="S235" t="s">
        <v>60</v>
      </c>
      <c r="T235">
        <v>9</v>
      </c>
      <c r="U235">
        <v>1006.8</v>
      </c>
    </row>
    <row r="236" spans="1:21" x14ac:dyDescent="0.5">
      <c r="A236" s="3">
        <v>43516</v>
      </c>
      <c r="B236">
        <v>22.9</v>
      </c>
      <c r="C236">
        <v>38.1</v>
      </c>
      <c r="D236">
        <v>0</v>
      </c>
      <c r="E236">
        <v>16</v>
      </c>
      <c r="G236" t="s">
        <v>58</v>
      </c>
      <c r="H236">
        <v>37</v>
      </c>
      <c r="I236" s="4">
        <v>0.41180555555555554</v>
      </c>
      <c r="J236">
        <v>29.2</v>
      </c>
      <c r="K236">
        <v>20</v>
      </c>
      <c r="M236" t="s">
        <v>50</v>
      </c>
      <c r="N236">
        <v>22</v>
      </c>
      <c r="O236">
        <v>1013.1</v>
      </c>
      <c r="P236">
        <v>36.1</v>
      </c>
      <c r="Q236">
        <v>12</v>
      </c>
      <c r="S236" t="s">
        <v>61</v>
      </c>
      <c r="T236">
        <v>15</v>
      </c>
      <c r="U236">
        <v>1009.2</v>
      </c>
    </row>
    <row r="237" spans="1:21" x14ac:dyDescent="0.5">
      <c r="A237" s="3">
        <v>43517</v>
      </c>
      <c r="B237">
        <v>20</v>
      </c>
      <c r="C237">
        <v>36.299999999999997</v>
      </c>
      <c r="D237">
        <v>0</v>
      </c>
      <c r="E237">
        <v>18.2</v>
      </c>
      <c r="G237" t="s">
        <v>58</v>
      </c>
      <c r="H237">
        <v>43</v>
      </c>
      <c r="I237" s="4">
        <v>0.35138888888888892</v>
      </c>
      <c r="J237">
        <v>27.8</v>
      </c>
      <c r="K237">
        <v>14</v>
      </c>
      <c r="L237">
        <v>7</v>
      </c>
      <c r="M237" t="s">
        <v>61</v>
      </c>
      <c r="N237">
        <v>28</v>
      </c>
      <c r="O237">
        <v>1014</v>
      </c>
      <c r="P237">
        <v>35.1</v>
      </c>
      <c r="Q237">
        <v>11</v>
      </c>
      <c r="R237">
        <v>7</v>
      </c>
      <c r="S237" t="s">
        <v>57</v>
      </c>
      <c r="T237">
        <v>20</v>
      </c>
      <c r="U237">
        <v>1010.4</v>
      </c>
    </row>
    <row r="238" spans="1:21" x14ac:dyDescent="0.5">
      <c r="A238" s="3">
        <v>43518</v>
      </c>
      <c r="B238">
        <v>17.899999999999999</v>
      </c>
      <c r="C238">
        <v>35.700000000000003</v>
      </c>
      <c r="D238">
        <v>0</v>
      </c>
      <c r="E238">
        <v>10.4</v>
      </c>
      <c r="G238" t="s">
        <v>57</v>
      </c>
      <c r="H238">
        <v>56</v>
      </c>
      <c r="I238" s="4">
        <v>0.56805555555555554</v>
      </c>
      <c r="J238">
        <v>27.9</v>
      </c>
      <c r="K238">
        <v>15</v>
      </c>
      <c r="M238" t="s">
        <v>58</v>
      </c>
      <c r="N238">
        <v>28</v>
      </c>
      <c r="O238">
        <v>1014</v>
      </c>
      <c r="P238">
        <v>34.700000000000003</v>
      </c>
      <c r="Q238">
        <v>9</v>
      </c>
      <c r="S238" t="s">
        <v>57</v>
      </c>
      <c r="T238">
        <v>19</v>
      </c>
      <c r="U238">
        <v>1010.2</v>
      </c>
    </row>
    <row r="239" spans="1:21" x14ac:dyDescent="0.5">
      <c r="A239" s="3">
        <v>43519</v>
      </c>
      <c r="B239">
        <v>15.6</v>
      </c>
      <c r="C239">
        <v>37.700000000000003</v>
      </c>
      <c r="D239">
        <v>0</v>
      </c>
      <c r="G239" t="s">
        <v>50</v>
      </c>
      <c r="H239">
        <v>44</v>
      </c>
      <c r="I239" s="4">
        <v>0.47361111111111115</v>
      </c>
      <c r="J239">
        <v>28.1</v>
      </c>
      <c r="K239">
        <v>13</v>
      </c>
      <c r="M239" t="s">
        <v>50</v>
      </c>
      <c r="N239">
        <v>13</v>
      </c>
      <c r="O239">
        <v>1012.6</v>
      </c>
      <c r="P239">
        <v>36.700000000000003</v>
      </c>
      <c r="Q239">
        <v>11</v>
      </c>
      <c r="S239" t="s">
        <v>58</v>
      </c>
      <c r="T239">
        <v>22</v>
      </c>
      <c r="U239">
        <v>1008.7</v>
      </c>
    </row>
    <row r="240" spans="1:21" x14ac:dyDescent="0.5">
      <c r="A240" s="3">
        <v>43520</v>
      </c>
      <c r="B240">
        <v>20.100000000000001</v>
      </c>
      <c r="C240">
        <v>38.4</v>
      </c>
      <c r="D240">
        <v>0</v>
      </c>
      <c r="G240" t="s">
        <v>60</v>
      </c>
      <c r="H240">
        <v>56</v>
      </c>
      <c r="I240" s="4">
        <v>0.99375000000000002</v>
      </c>
      <c r="J240">
        <v>30.6</v>
      </c>
      <c r="K240">
        <v>15</v>
      </c>
      <c r="L240">
        <v>1</v>
      </c>
      <c r="M240" t="s">
        <v>58</v>
      </c>
      <c r="N240">
        <v>17</v>
      </c>
      <c r="O240">
        <v>1012.5</v>
      </c>
      <c r="P240">
        <v>36.9</v>
      </c>
      <c r="Q240">
        <v>13</v>
      </c>
      <c r="R240">
        <v>1</v>
      </c>
      <c r="S240" t="s">
        <v>60</v>
      </c>
      <c r="T240">
        <v>19</v>
      </c>
      <c r="U240">
        <v>1008.4</v>
      </c>
    </row>
    <row r="241" spans="1:21" x14ac:dyDescent="0.5">
      <c r="A241" s="3">
        <v>43521</v>
      </c>
      <c r="B241">
        <v>21.8</v>
      </c>
      <c r="C241">
        <v>39.1</v>
      </c>
      <c r="D241">
        <v>0</v>
      </c>
      <c r="E241">
        <v>46</v>
      </c>
      <c r="G241" t="s">
        <v>61</v>
      </c>
      <c r="H241">
        <v>43</v>
      </c>
      <c r="I241" s="4">
        <v>0.47222222222222227</v>
      </c>
      <c r="J241">
        <v>30.3</v>
      </c>
      <c r="K241">
        <v>29</v>
      </c>
      <c r="M241" t="s">
        <v>16</v>
      </c>
      <c r="N241">
        <v>13</v>
      </c>
      <c r="O241">
        <v>1015</v>
      </c>
      <c r="P241">
        <v>36.299999999999997</v>
      </c>
      <c r="Q241">
        <v>13</v>
      </c>
      <c r="R241">
        <v>6</v>
      </c>
      <c r="S241" t="s">
        <v>56</v>
      </c>
      <c r="T241">
        <v>20</v>
      </c>
      <c r="U241">
        <v>1010.5</v>
      </c>
    </row>
    <row r="242" spans="1:21" x14ac:dyDescent="0.5">
      <c r="A242" s="3">
        <v>43522</v>
      </c>
      <c r="B242">
        <v>21.1</v>
      </c>
      <c r="C242">
        <v>38.200000000000003</v>
      </c>
      <c r="D242">
        <v>0</v>
      </c>
      <c r="E242">
        <v>16.8</v>
      </c>
      <c r="G242" t="s">
        <v>50</v>
      </c>
      <c r="H242">
        <v>43</v>
      </c>
      <c r="I242" s="4">
        <v>0.69444444444444453</v>
      </c>
      <c r="J242">
        <v>30.4</v>
      </c>
      <c r="K242">
        <v>33</v>
      </c>
      <c r="M242" t="s">
        <v>16</v>
      </c>
      <c r="N242">
        <v>15</v>
      </c>
      <c r="O242">
        <v>1014.9</v>
      </c>
      <c r="P242">
        <v>37</v>
      </c>
      <c r="Q242">
        <v>12</v>
      </c>
      <c r="S242" t="s">
        <v>50</v>
      </c>
      <c r="T242">
        <v>17</v>
      </c>
      <c r="U242">
        <v>1010.6</v>
      </c>
    </row>
    <row r="243" spans="1:21" x14ac:dyDescent="0.5">
      <c r="A243" s="3">
        <v>43523</v>
      </c>
      <c r="B243">
        <v>20.3</v>
      </c>
      <c r="C243">
        <v>38.299999999999997</v>
      </c>
      <c r="D243">
        <v>0</v>
      </c>
      <c r="E243">
        <v>16</v>
      </c>
      <c r="G243" t="s">
        <v>57</v>
      </c>
      <c r="H243">
        <v>50</v>
      </c>
      <c r="I243" s="4">
        <v>0.49513888888888885</v>
      </c>
      <c r="J243">
        <v>31</v>
      </c>
      <c r="K243">
        <v>22</v>
      </c>
      <c r="M243" t="s">
        <v>17</v>
      </c>
      <c r="N243">
        <v>6</v>
      </c>
      <c r="O243">
        <v>1014</v>
      </c>
      <c r="P243">
        <v>37.1</v>
      </c>
      <c r="Q243">
        <v>14</v>
      </c>
      <c r="R243">
        <v>2</v>
      </c>
      <c r="S243" t="s">
        <v>50</v>
      </c>
      <c r="T243">
        <v>26</v>
      </c>
      <c r="U243">
        <v>1009.1</v>
      </c>
    </row>
    <row r="244" spans="1:21" x14ac:dyDescent="0.5">
      <c r="A244" s="3">
        <v>43524</v>
      </c>
      <c r="B244">
        <v>19.7</v>
      </c>
      <c r="C244">
        <v>39</v>
      </c>
      <c r="D244">
        <v>0</v>
      </c>
      <c r="E244">
        <v>14.8</v>
      </c>
      <c r="G244" t="s">
        <v>61</v>
      </c>
      <c r="H244">
        <v>41</v>
      </c>
      <c r="I244" s="4">
        <v>0.58263888888888882</v>
      </c>
      <c r="J244">
        <v>31.2</v>
      </c>
      <c r="K244">
        <v>24</v>
      </c>
      <c r="M244" t="s">
        <v>16</v>
      </c>
      <c r="N244">
        <v>13</v>
      </c>
      <c r="O244">
        <v>1013.6</v>
      </c>
      <c r="P244">
        <v>37.4</v>
      </c>
      <c r="Q244">
        <v>11</v>
      </c>
      <c r="S244" t="s">
        <v>57</v>
      </c>
      <c r="T244">
        <v>20</v>
      </c>
      <c r="U244">
        <v>1009.1</v>
      </c>
    </row>
    <row r="245" spans="1:21" x14ac:dyDescent="0.5">
      <c r="A245" s="3">
        <v>43525</v>
      </c>
      <c r="B245">
        <v>22.7</v>
      </c>
      <c r="C245">
        <v>39.200000000000003</v>
      </c>
      <c r="D245">
        <v>0</v>
      </c>
      <c r="G245" t="s">
        <v>61</v>
      </c>
      <c r="H245">
        <v>37</v>
      </c>
      <c r="I245" s="4">
        <v>0.66736111111111107</v>
      </c>
      <c r="J245">
        <v>32.6</v>
      </c>
      <c r="K245">
        <v>25</v>
      </c>
      <c r="M245" t="s">
        <v>16</v>
      </c>
      <c r="N245">
        <v>20</v>
      </c>
      <c r="O245">
        <v>1012.8</v>
      </c>
      <c r="P245">
        <v>37.299999999999997</v>
      </c>
      <c r="Q245">
        <v>13</v>
      </c>
      <c r="S245" t="s">
        <v>61</v>
      </c>
      <c r="T245">
        <v>24</v>
      </c>
      <c r="U245">
        <v>1009.2</v>
      </c>
    </row>
    <row r="246" spans="1:21" x14ac:dyDescent="0.5">
      <c r="A246" s="3">
        <v>43526</v>
      </c>
      <c r="B246">
        <v>22.5</v>
      </c>
      <c r="C246">
        <v>39.6</v>
      </c>
      <c r="D246">
        <v>0</v>
      </c>
      <c r="G246" t="s">
        <v>14</v>
      </c>
      <c r="H246">
        <v>39</v>
      </c>
      <c r="I246" s="4">
        <v>0.40625</v>
      </c>
      <c r="J246">
        <v>31.9</v>
      </c>
      <c r="K246">
        <v>28</v>
      </c>
      <c r="M246" t="s">
        <v>14</v>
      </c>
      <c r="N246">
        <v>22</v>
      </c>
      <c r="O246">
        <v>1012.9</v>
      </c>
      <c r="P246">
        <v>37.799999999999997</v>
      </c>
      <c r="Q246">
        <v>13</v>
      </c>
      <c r="R246">
        <v>3</v>
      </c>
      <c r="S246" t="s">
        <v>56</v>
      </c>
      <c r="T246">
        <v>17</v>
      </c>
      <c r="U246">
        <v>1009.1</v>
      </c>
    </row>
    <row r="247" spans="1:21" x14ac:dyDescent="0.5">
      <c r="A247" s="3">
        <v>43527</v>
      </c>
      <c r="B247">
        <v>21.7</v>
      </c>
      <c r="C247">
        <v>39.1</v>
      </c>
      <c r="D247">
        <v>0</v>
      </c>
      <c r="G247" t="s">
        <v>50</v>
      </c>
      <c r="H247">
        <v>46</v>
      </c>
      <c r="I247" s="4">
        <v>0.76111111111111107</v>
      </c>
      <c r="J247">
        <v>31.6</v>
      </c>
      <c r="K247">
        <v>23</v>
      </c>
      <c r="M247" t="s">
        <v>16</v>
      </c>
      <c r="N247">
        <v>7</v>
      </c>
      <c r="O247">
        <v>1014.2</v>
      </c>
      <c r="P247">
        <v>36.799999999999997</v>
      </c>
      <c r="Q247">
        <v>13</v>
      </c>
      <c r="R247">
        <v>1</v>
      </c>
      <c r="S247" t="s">
        <v>60</v>
      </c>
      <c r="T247">
        <v>9</v>
      </c>
      <c r="U247">
        <v>1010.1</v>
      </c>
    </row>
    <row r="248" spans="1:21" x14ac:dyDescent="0.5">
      <c r="A248" s="3">
        <v>43528</v>
      </c>
      <c r="B248">
        <v>20.3</v>
      </c>
      <c r="C248">
        <v>37.700000000000003</v>
      </c>
      <c r="D248">
        <v>0</v>
      </c>
      <c r="G248" t="s">
        <v>50</v>
      </c>
      <c r="H248">
        <v>48</v>
      </c>
      <c r="I248" s="4">
        <v>0.61527777777777781</v>
      </c>
      <c r="J248">
        <v>31.8</v>
      </c>
      <c r="K248">
        <v>19</v>
      </c>
      <c r="M248" t="s">
        <v>60</v>
      </c>
      <c r="N248">
        <v>9</v>
      </c>
      <c r="O248">
        <v>1014.4</v>
      </c>
      <c r="P248">
        <v>36.799999999999997</v>
      </c>
      <c r="Q248">
        <v>12</v>
      </c>
      <c r="S248" t="s">
        <v>50</v>
      </c>
      <c r="T248">
        <v>19</v>
      </c>
      <c r="U248">
        <v>1010.7</v>
      </c>
    </row>
    <row r="249" spans="1:21" x14ac:dyDescent="0.5">
      <c r="A249" s="3">
        <v>43529</v>
      </c>
      <c r="B249">
        <v>19.899999999999999</v>
      </c>
      <c r="C249">
        <v>38.700000000000003</v>
      </c>
      <c r="D249">
        <v>0</v>
      </c>
      <c r="E249">
        <v>81.599999999999994</v>
      </c>
      <c r="G249" t="s">
        <v>55</v>
      </c>
      <c r="H249">
        <v>56</v>
      </c>
      <c r="I249" s="4">
        <v>0.53402777777777777</v>
      </c>
      <c r="J249">
        <v>30.7</v>
      </c>
      <c r="K249">
        <v>19</v>
      </c>
      <c r="M249" t="s">
        <v>60</v>
      </c>
      <c r="N249">
        <v>9</v>
      </c>
      <c r="O249">
        <v>1014</v>
      </c>
      <c r="P249">
        <v>37.1</v>
      </c>
      <c r="Q249">
        <v>10</v>
      </c>
      <c r="S249" t="s">
        <v>57</v>
      </c>
      <c r="T249">
        <v>17</v>
      </c>
      <c r="U249">
        <v>1009.4</v>
      </c>
    </row>
    <row r="250" spans="1:21" x14ac:dyDescent="0.5">
      <c r="A250" s="3">
        <v>43530</v>
      </c>
      <c r="B250">
        <v>20.6</v>
      </c>
      <c r="C250">
        <v>34.9</v>
      </c>
      <c r="D250">
        <v>0</v>
      </c>
      <c r="E250">
        <v>15.2</v>
      </c>
      <c r="G250" t="s">
        <v>57</v>
      </c>
      <c r="H250">
        <v>48</v>
      </c>
      <c r="I250" s="4">
        <v>0.52708333333333335</v>
      </c>
      <c r="J250">
        <v>28.4</v>
      </c>
      <c r="K250">
        <v>28</v>
      </c>
      <c r="M250" t="s">
        <v>57</v>
      </c>
      <c r="N250">
        <v>26</v>
      </c>
      <c r="O250">
        <v>1015.5</v>
      </c>
      <c r="P250">
        <v>33.1</v>
      </c>
      <c r="Q250">
        <v>21</v>
      </c>
      <c r="S250" t="s">
        <v>50</v>
      </c>
      <c r="T250">
        <v>24</v>
      </c>
      <c r="U250">
        <v>1012.9</v>
      </c>
    </row>
    <row r="251" spans="1:21" x14ac:dyDescent="0.5">
      <c r="A251" s="3">
        <v>43531</v>
      </c>
      <c r="B251">
        <v>19.600000000000001</v>
      </c>
      <c r="C251">
        <v>36.1</v>
      </c>
      <c r="D251">
        <v>0</v>
      </c>
      <c r="E251">
        <v>16</v>
      </c>
      <c r="G251" t="s">
        <v>50</v>
      </c>
      <c r="H251">
        <v>33</v>
      </c>
      <c r="I251" s="4">
        <v>0.6</v>
      </c>
      <c r="J251">
        <v>24.4</v>
      </c>
      <c r="K251">
        <v>22</v>
      </c>
      <c r="M251" t="s">
        <v>50</v>
      </c>
      <c r="N251">
        <v>22</v>
      </c>
      <c r="O251">
        <v>1017.2</v>
      </c>
      <c r="P251">
        <v>34.6</v>
      </c>
      <c r="Q251">
        <v>13</v>
      </c>
      <c r="S251" t="s">
        <v>50</v>
      </c>
      <c r="T251">
        <v>19</v>
      </c>
      <c r="U251">
        <v>1012.1</v>
      </c>
    </row>
    <row r="252" spans="1:21" x14ac:dyDescent="0.5">
      <c r="A252" s="3">
        <v>43532</v>
      </c>
      <c r="B252">
        <v>18</v>
      </c>
      <c r="C252">
        <v>37.6</v>
      </c>
      <c r="D252">
        <v>0</v>
      </c>
      <c r="G252" t="s">
        <v>58</v>
      </c>
      <c r="H252">
        <v>56</v>
      </c>
      <c r="I252" s="4">
        <v>0.67986111111111114</v>
      </c>
      <c r="J252">
        <v>28.3</v>
      </c>
      <c r="K252">
        <v>14</v>
      </c>
      <c r="M252" t="s">
        <v>58</v>
      </c>
      <c r="N252">
        <v>17</v>
      </c>
      <c r="O252">
        <v>1015.7</v>
      </c>
      <c r="P252">
        <v>35.799999999999997</v>
      </c>
      <c r="Q252">
        <v>9</v>
      </c>
      <c r="S252" t="s">
        <v>57</v>
      </c>
      <c r="T252">
        <v>17</v>
      </c>
      <c r="U252">
        <v>1011.7</v>
      </c>
    </row>
    <row r="253" spans="1:21" x14ac:dyDescent="0.5">
      <c r="A253" s="3">
        <v>43533</v>
      </c>
      <c r="B253">
        <v>16.399999999999999</v>
      </c>
      <c r="C253">
        <v>39.799999999999997</v>
      </c>
      <c r="D253">
        <v>0</v>
      </c>
      <c r="G253" t="s">
        <v>58</v>
      </c>
      <c r="H253">
        <v>41</v>
      </c>
      <c r="I253" s="4">
        <v>0.71180555555555547</v>
      </c>
      <c r="J253">
        <v>29.7</v>
      </c>
      <c r="K253">
        <v>8</v>
      </c>
      <c r="M253" t="s">
        <v>61</v>
      </c>
      <c r="N253">
        <v>24</v>
      </c>
      <c r="O253">
        <v>1016.6</v>
      </c>
      <c r="P253">
        <v>39.1</v>
      </c>
      <c r="Q253">
        <v>7</v>
      </c>
      <c r="S253" t="s">
        <v>50</v>
      </c>
      <c r="T253">
        <v>19</v>
      </c>
      <c r="U253">
        <v>1011.6</v>
      </c>
    </row>
    <row r="254" spans="1:21" x14ac:dyDescent="0.5">
      <c r="A254" s="3">
        <v>43534</v>
      </c>
      <c r="B254">
        <v>20.399999999999999</v>
      </c>
      <c r="C254">
        <v>41.1</v>
      </c>
      <c r="D254">
        <v>0</v>
      </c>
      <c r="E254">
        <v>54.4</v>
      </c>
      <c r="G254" t="s">
        <v>58</v>
      </c>
      <c r="H254">
        <v>41</v>
      </c>
      <c r="I254" s="4">
        <v>0.62638888888888888</v>
      </c>
      <c r="J254">
        <v>32.799999999999997</v>
      </c>
      <c r="K254">
        <v>13</v>
      </c>
      <c r="M254" t="s">
        <v>60</v>
      </c>
      <c r="N254">
        <v>9</v>
      </c>
      <c r="O254">
        <v>1016.5</v>
      </c>
      <c r="P254">
        <v>39.4</v>
      </c>
      <c r="Q254">
        <v>13</v>
      </c>
      <c r="S254" t="s">
        <v>60</v>
      </c>
      <c r="T254">
        <v>15</v>
      </c>
      <c r="U254">
        <v>1010.6</v>
      </c>
    </row>
    <row r="255" spans="1:21" x14ac:dyDescent="0.5">
      <c r="A255" s="3">
        <v>43535</v>
      </c>
      <c r="B255">
        <v>22.8</v>
      </c>
      <c r="C255">
        <v>42.7</v>
      </c>
      <c r="D255">
        <v>0</v>
      </c>
      <c r="E255">
        <v>16</v>
      </c>
      <c r="G255" t="s">
        <v>15</v>
      </c>
      <c r="H255">
        <v>35</v>
      </c>
      <c r="I255" s="4">
        <v>0.42083333333333334</v>
      </c>
      <c r="J255">
        <v>35</v>
      </c>
      <c r="K255">
        <v>18</v>
      </c>
      <c r="M255" t="s">
        <v>14</v>
      </c>
      <c r="N255">
        <v>17</v>
      </c>
      <c r="O255">
        <v>1013.8</v>
      </c>
      <c r="P255">
        <v>41.8</v>
      </c>
      <c r="Q255">
        <v>12</v>
      </c>
      <c r="S255" t="s">
        <v>19</v>
      </c>
      <c r="T255">
        <v>7</v>
      </c>
      <c r="U255">
        <v>1008.9</v>
      </c>
    </row>
    <row r="256" spans="1:21" x14ac:dyDescent="0.5">
      <c r="A256" s="3">
        <v>43536</v>
      </c>
      <c r="B256">
        <v>27.6</v>
      </c>
      <c r="C256">
        <v>40.9</v>
      </c>
      <c r="D256">
        <v>0</v>
      </c>
      <c r="E256">
        <v>16.8</v>
      </c>
      <c r="G256" t="s">
        <v>57</v>
      </c>
      <c r="H256">
        <v>41</v>
      </c>
      <c r="I256" s="4">
        <v>0.69444444444444453</v>
      </c>
      <c r="J256">
        <v>33</v>
      </c>
      <c r="K256">
        <v>18</v>
      </c>
      <c r="M256" t="s">
        <v>57</v>
      </c>
      <c r="N256">
        <v>17</v>
      </c>
      <c r="O256">
        <v>1011.9</v>
      </c>
      <c r="P256">
        <v>40.5</v>
      </c>
      <c r="Q256">
        <v>14</v>
      </c>
      <c r="S256" t="s">
        <v>55</v>
      </c>
      <c r="T256">
        <v>26</v>
      </c>
      <c r="U256">
        <v>1008.1</v>
      </c>
    </row>
    <row r="257" spans="1:21" x14ac:dyDescent="0.5">
      <c r="A257" s="3">
        <v>43537</v>
      </c>
      <c r="B257">
        <v>23</v>
      </c>
      <c r="C257">
        <v>38.799999999999997</v>
      </c>
      <c r="D257">
        <v>0</v>
      </c>
      <c r="E257">
        <v>14</v>
      </c>
      <c r="G257" t="s">
        <v>61</v>
      </c>
      <c r="H257">
        <v>37</v>
      </c>
      <c r="I257" s="4">
        <v>0.37152777777777773</v>
      </c>
      <c r="J257">
        <v>29.1</v>
      </c>
      <c r="K257">
        <v>29</v>
      </c>
      <c r="M257" t="s">
        <v>61</v>
      </c>
      <c r="N257">
        <v>24</v>
      </c>
      <c r="O257">
        <v>1013.9</v>
      </c>
      <c r="P257">
        <v>37.1</v>
      </c>
      <c r="Q257">
        <v>17</v>
      </c>
      <c r="S257" t="s">
        <v>57</v>
      </c>
      <c r="T257">
        <v>11</v>
      </c>
      <c r="U257">
        <v>1009.6</v>
      </c>
    </row>
    <row r="258" spans="1:21" x14ac:dyDescent="0.5">
      <c r="A258" s="3">
        <v>43538</v>
      </c>
      <c r="B258">
        <v>22.4</v>
      </c>
      <c r="C258">
        <v>38.299999999999997</v>
      </c>
      <c r="D258">
        <v>0</v>
      </c>
      <c r="E258">
        <v>15.2</v>
      </c>
      <c r="G258" t="s">
        <v>57</v>
      </c>
      <c r="H258">
        <v>41</v>
      </c>
      <c r="I258" s="4">
        <v>0.53402777777777777</v>
      </c>
      <c r="J258">
        <v>29.8</v>
      </c>
      <c r="K258">
        <v>22</v>
      </c>
      <c r="M258" t="s">
        <v>61</v>
      </c>
      <c r="N258">
        <v>19</v>
      </c>
      <c r="O258">
        <v>1014.1</v>
      </c>
      <c r="P258">
        <v>37.1</v>
      </c>
      <c r="Q258">
        <v>13</v>
      </c>
      <c r="R258">
        <v>7</v>
      </c>
      <c r="S258" t="s">
        <v>50</v>
      </c>
      <c r="T258">
        <v>20</v>
      </c>
      <c r="U258">
        <v>1009.9</v>
      </c>
    </row>
    <row r="259" spans="1:21" x14ac:dyDescent="0.5">
      <c r="A259" s="3">
        <v>43539</v>
      </c>
      <c r="B259">
        <v>22.5</v>
      </c>
      <c r="C259">
        <v>35.799999999999997</v>
      </c>
      <c r="D259">
        <v>0</v>
      </c>
      <c r="G259" t="s">
        <v>58</v>
      </c>
      <c r="H259">
        <v>43</v>
      </c>
      <c r="I259" s="4">
        <v>0.67499999999999993</v>
      </c>
      <c r="J259">
        <v>28.1</v>
      </c>
      <c r="K259">
        <v>19</v>
      </c>
      <c r="L259">
        <v>8</v>
      </c>
      <c r="M259" t="s">
        <v>58</v>
      </c>
      <c r="N259">
        <v>15</v>
      </c>
      <c r="O259">
        <v>1013.6</v>
      </c>
      <c r="P259">
        <v>34.5</v>
      </c>
      <c r="Q259">
        <v>13</v>
      </c>
      <c r="R259">
        <v>4</v>
      </c>
      <c r="S259" t="s">
        <v>58</v>
      </c>
      <c r="T259">
        <v>15</v>
      </c>
      <c r="U259">
        <v>1010.5</v>
      </c>
    </row>
    <row r="260" spans="1:21" x14ac:dyDescent="0.5">
      <c r="A260" s="3">
        <v>43540</v>
      </c>
      <c r="B260">
        <v>17.399999999999999</v>
      </c>
      <c r="C260">
        <v>36.6</v>
      </c>
      <c r="D260">
        <v>0</v>
      </c>
      <c r="G260" t="s">
        <v>57</v>
      </c>
      <c r="H260">
        <v>39</v>
      </c>
      <c r="I260" s="4">
        <v>0.68472222222222223</v>
      </c>
      <c r="J260">
        <v>28.4</v>
      </c>
      <c r="K260">
        <v>14</v>
      </c>
      <c r="M260" t="s">
        <v>61</v>
      </c>
      <c r="N260">
        <v>17</v>
      </c>
      <c r="O260">
        <v>1012.5</v>
      </c>
      <c r="P260">
        <v>35.4</v>
      </c>
      <c r="Q260">
        <v>12</v>
      </c>
      <c r="R260">
        <v>2</v>
      </c>
      <c r="S260" t="s">
        <v>55</v>
      </c>
      <c r="T260">
        <v>20</v>
      </c>
      <c r="U260">
        <v>1009.4</v>
      </c>
    </row>
    <row r="261" spans="1:21" x14ac:dyDescent="0.5">
      <c r="A261" s="3">
        <v>43541</v>
      </c>
      <c r="B261">
        <v>17.399999999999999</v>
      </c>
      <c r="C261">
        <v>36.4</v>
      </c>
      <c r="D261">
        <v>0</v>
      </c>
      <c r="E261">
        <v>33.799999999999997</v>
      </c>
      <c r="G261" t="s">
        <v>57</v>
      </c>
      <c r="H261">
        <v>61</v>
      </c>
      <c r="I261" s="4">
        <v>0.62222222222222223</v>
      </c>
      <c r="J261">
        <v>27.5</v>
      </c>
      <c r="K261">
        <v>13</v>
      </c>
      <c r="M261" t="s">
        <v>61</v>
      </c>
      <c r="N261">
        <v>13</v>
      </c>
      <c r="O261">
        <v>1013.4</v>
      </c>
      <c r="P261">
        <v>35.700000000000003</v>
      </c>
      <c r="Q261">
        <v>10</v>
      </c>
      <c r="S261" t="s">
        <v>57</v>
      </c>
      <c r="T261">
        <v>28</v>
      </c>
      <c r="U261">
        <v>1010</v>
      </c>
    </row>
    <row r="262" spans="1:21" x14ac:dyDescent="0.5">
      <c r="A262" s="3">
        <v>43542</v>
      </c>
      <c r="B262">
        <v>15.1</v>
      </c>
      <c r="C262">
        <v>37.200000000000003</v>
      </c>
      <c r="D262">
        <v>0</v>
      </c>
      <c r="E262">
        <v>14.8</v>
      </c>
      <c r="G262" t="s">
        <v>50</v>
      </c>
      <c r="H262">
        <v>44</v>
      </c>
      <c r="I262" s="4">
        <v>0.59583333333333333</v>
      </c>
      <c r="J262">
        <v>28.5</v>
      </c>
      <c r="K262">
        <v>12</v>
      </c>
      <c r="M262" t="s">
        <v>61</v>
      </c>
      <c r="N262">
        <v>13</v>
      </c>
      <c r="O262">
        <v>1013.4</v>
      </c>
      <c r="P262">
        <v>35.799999999999997</v>
      </c>
      <c r="Q262">
        <v>10</v>
      </c>
      <c r="S262" t="s">
        <v>50</v>
      </c>
      <c r="T262">
        <v>24</v>
      </c>
      <c r="U262">
        <v>1008.6</v>
      </c>
    </row>
    <row r="263" spans="1:21" x14ac:dyDescent="0.5">
      <c r="A263" s="3">
        <v>43543</v>
      </c>
      <c r="B263">
        <v>17.7</v>
      </c>
      <c r="C263">
        <v>37.1</v>
      </c>
      <c r="D263">
        <v>0</v>
      </c>
      <c r="E263">
        <v>13</v>
      </c>
      <c r="G263" t="s">
        <v>56</v>
      </c>
      <c r="H263">
        <v>41</v>
      </c>
      <c r="I263" s="4">
        <v>0.47430555555555554</v>
      </c>
      <c r="J263">
        <v>28.6</v>
      </c>
      <c r="K263">
        <v>14</v>
      </c>
      <c r="M263" t="s">
        <v>60</v>
      </c>
      <c r="N263">
        <v>2</v>
      </c>
      <c r="O263">
        <v>1012.5</v>
      </c>
      <c r="P263">
        <v>35.6</v>
      </c>
      <c r="Q263">
        <v>12</v>
      </c>
      <c r="S263" t="s">
        <v>50</v>
      </c>
      <c r="T263">
        <v>28</v>
      </c>
      <c r="U263">
        <v>1008.3</v>
      </c>
    </row>
    <row r="264" spans="1:21" x14ac:dyDescent="0.5">
      <c r="A264" s="3">
        <v>43544</v>
      </c>
      <c r="B264">
        <v>19.100000000000001</v>
      </c>
      <c r="C264">
        <v>37.9</v>
      </c>
      <c r="D264">
        <v>0</v>
      </c>
      <c r="E264">
        <v>15.2</v>
      </c>
      <c r="G264" t="s">
        <v>50</v>
      </c>
      <c r="H264">
        <v>44</v>
      </c>
      <c r="I264" s="4">
        <v>0.67847222222222225</v>
      </c>
      <c r="J264">
        <v>29.4</v>
      </c>
      <c r="K264">
        <v>17</v>
      </c>
      <c r="M264" t="s">
        <v>50</v>
      </c>
      <c r="N264">
        <v>11</v>
      </c>
      <c r="O264">
        <v>1013.1</v>
      </c>
      <c r="P264">
        <v>36.299999999999997</v>
      </c>
      <c r="Q264">
        <v>12</v>
      </c>
      <c r="S264" t="s">
        <v>58</v>
      </c>
      <c r="T264">
        <v>17</v>
      </c>
      <c r="U264">
        <v>1008.7</v>
      </c>
    </row>
    <row r="265" spans="1:21" x14ac:dyDescent="0.5">
      <c r="A265" s="3">
        <v>43545</v>
      </c>
      <c r="B265">
        <v>18.899999999999999</v>
      </c>
      <c r="C265">
        <v>38.4</v>
      </c>
      <c r="D265">
        <v>0</v>
      </c>
      <c r="E265">
        <v>13</v>
      </c>
      <c r="G265" t="s">
        <v>50</v>
      </c>
      <c r="H265">
        <v>52</v>
      </c>
      <c r="I265" s="4">
        <v>0.64722222222222225</v>
      </c>
      <c r="J265">
        <v>30.1</v>
      </c>
      <c r="K265">
        <v>20</v>
      </c>
      <c r="M265" t="s">
        <v>58</v>
      </c>
      <c r="N265">
        <v>17</v>
      </c>
      <c r="O265">
        <v>1012.5</v>
      </c>
      <c r="P265">
        <v>37.4</v>
      </c>
      <c r="Q265">
        <v>12</v>
      </c>
      <c r="S265" t="s">
        <v>50</v>
      </c>
      <c r="T265">
        <v>24</v>
      </c>
      <c r="U265">
        <v>1007.5</v>
      </c>
    </row>
    <row r="266" spans="1:21" x14ac:dyDescent="0.5">
      <c r="A266" s="3">
        <v>43546</v>
      </c>
      <c r="B266">
        <v>18.7</v>
      </c>
      <c r="C266">
        <v>39.200000000000003</v>
      </c>
      <c r="D266">
        <v>0</v>
      </c>
      <c r="G266" t="s">
        <v>58</v>
      </c>
      <c r="H266">
        <v>41</v>
      </c>
      <c r="I266" s="4">
        <v>0.56388888888888888</v>
      </c>
      <c r="J266">
        <v>29.4</v>
      </c>
      <c r="K266">
        <v>21</v>
      </c>
      <c r="M266" t="s">
        <v>61</v>
      </c>
      <c r="N266">
        <v>13</v>
      </c>
      <c r="O266">
        <v>1011.2</v>
      </c>
      <c r="P266">
        <v>37.9</v>
      </c>
      <c r="Q266">
        <v>10</v>
      </c>
      <c r="S266" t="s">
        <v>50</v>
      </c>
      <c r="T266">
        <v>26</v>
      </c>
      <c r="U266">
        <v>1005.8</v>
      </c>
    </row>
    <row r="267" spans="1:21" x14ac:dyDescent="0.5">
      <c r="A267" s="3">
        <v>43547</v>
      </c>
      <c r="B267">
        <v>20.6</v>
      </c>
      <c r="C267">
        <v>39.5</v>
      </c>
      <c r="D267">
        <v>0</v>
      </c>
      <c r="G267" t="s">
        <v>58</v>
      </c>
      <c r="H267">
        <v>48</v>
      </c>
      <c r="I267" s="4">
        <v>0.57361111111111118</v>
      </c>
      <c r="J267">
        <v>32.799999999999997</v>
      </c>
      <c r="K267">
        <v>29</v>
      </c>
      <c r="M267" t="s">
        <v>16</v>
      </c>
      <c r="N267">
        <v>13</v>
      </c>
      <c r="O267">
        <v>1008.6</v>
      </c>
      <c r="P267">
        <v>38.700000000000003</v>
      </c>
      <c r="Q267">
        <v>14</v>
      </c>
      <c r="R267">
        <v>1</v>
      </c>
      <c r="S267" t="s">
        <v>61</v>
      </c>
      <c r="T267">
        <v>26</v>
      </c>
      <c r="U267">
        <v>1004</v>
      </c>
    </row>
    <row r="268" spans="1:21" x14ac:dyDescent="0.5">
      <c r="A268" s="3">
        <v>43548</v>
      </c>
      <c r="B268">
        <v>27.6</v>
      </c>
      <c r="C268">
        <v>35.4</v>
      </c>
      <c r="D268">
        <v>0</v>
      </c>
      <c r="E268">
        <v>36.799999999999997</v>
      </c>
      <c r="G268" t="s">
        <v>61</v>
      </c>
      <c r="H268">
        <v>44</v>
      </c>
      <c r="I268" s="4">
        <v>0.84722222222222221</v>
      </c>
      <c r="J268">
        <v>29.7</v>
      </c>
      <c r="K268">
        <v>47</v>
      </c>
      <c r="M268" t="s">
        <v>16</v>
      </c>
      <c r="N268">
        <v>26</v>
      </c>
      <c r="O268">
        <v>1008</v>
      </c>
      <c r="P268">
        <v>34.5</v>
      </c>
      <c r="Q268">
        <v>31</v>
      </c>
      <c r="R268">
        <v>3</v>
      </c>
      <c r="S268" t="s">
        <v>16</v>
      </c>
      <c r="T268">
        <v>26</v>
      </c>
      <c r="U268">
        <v>1003.8</v>
      </c>
    </row>
    <row r="269" spans="1:21" x14ac:dyDescent="0.5">
      <c r="A269" s="3">
        <v>43549</v>
      </c>
      <c r="B269">
        <v>24</v>
      </c>
      <c r="C269">
        <v>28.4</v>
      </c>
      <c r="D269">
        <v>1.4</v>
      </c>
      <c r="E269">
        <v>10.199999999999999</v>
      </c>
      <c r="G269" t="s">
        <v>56</v>
      </c>
      <c r="H269">
        <v>50</v>
      </c>
      <c r="I269" s="4">
        <v>0.58263888888888882</v>
      </c>
      <c r="J269">
        <v>25.9</v>
      </c>
      <c r="K269">
        <v>72</v>
      </c>
      <c r="L269">
        <v>8</v>
      </c>
      <c r="M269" t="s">
        <v>57</v>
      </c>
      <c r="N269">
        <v>22</v>
      </c>
      <c r="O269">
        <v>1009.1</v>
      </c>
      <c r="P269">
        <v>23.6</v>
      </c>
      <c r="Q269">
        <v>77</v>
      </c>
      <c r="S269" t="s">
        <v>56</v>
      </c>
      <c r="T269">
        <v>30</v>
      </c>
      <c r="U269">
        <v>1009.1</v>
      </c>
    </row>
    <row r="270" spans="1:21" x14ac:dyDescent="0.5">
      <c r="A270" s="3">
        <v>43550</v>
      </c>
      <c r="B270">
        <v>18.7</v>
      </c>
      <c r="C270">
        <v>29.4</v>
      </c>
      <c r="D270">
        <v>0</v>
      </c>
      <c r="G270" t="s">
        <v>50</v>
      </c>
      <c r="H270">
        <v>50</v>
      </c>
      <c r="I270" s="4">
        <v>0.6479166666666667</v>
      </c>
      <c r="J270">
        <v>21.1</v>
      </c>
      <c r="K270">
        <v>38</v>
      </c>
      <c r="M270" t="s">
        <v>57</v>
      </c>
      <c r="N270">
        <v>31</v>
      </c>
      <c r="O270">
        <v>1016.3</v>
      </c>
      <c r="P270">
        <v>28.9</v>
      </c>
      <c r="Q270">
        <v>22</v>
      </c>
      <c r="S270" t="s">
        <v>57</v>
      </c>
      <c r="T270">
        <v>28</v>
      </c>
      <c r="U270">
        <v>1013.1</v>
      </c>
    </row>
    <row r="271" spans="1:21" x14ac:dyDescent="0.5">
      <c r="A271" s="3">
        <v>43551</v>
      </c>
      <c r="B271">
        <v>12</v>
      </c>
      <c r="C271">
        <v>29.8</v>
      </c>
      <c r="D271">
        <v>0</v>
      </c>
      <c r="G271" t="s">
        <v>57</v>
      </c>
      <c r="H271">
        <v>35</v>
      </c>
      <c r="I271" s="4">
        <v>0.60833333333333328</v>
      </c>
      <c r="J271">
        <v>21</v>
      </c>
      <c r="K271">
        <v>35</v>
      </c>
      <c r="M271" t="s">
        <v>50</v>
      </c>
      <c r="N271">
        <v>19</v>
      </c>
      <c r="O271">
        <v>1017.3</v>
      </c>
      <c r="P271">
        <v>28.4</v>
      </c>
      <c r="Q271">
        <v>23</v>
      </c>
      <c r="S271" t="s">
        <v>56</v>
      </c>
      <c r="T271">
        <v>20</v>
      </c>
      <c r="U271">
        <v>1012.9</v>
      </c>
    </row>
    <row r="272" spans="1:21" x14ac:dyDescent="0.5">
      <c r="A272" s="3">
        <v>43552</v>
      </c>
      <c r="B272">
        <v>12.3</v>
      </c>
      <c r="C272">
        <v>31.2</v>
      </c>
      <c r="D272">
        <v>0</v>
      </c>
      <c r="E272">
        <v>35.200000000000003</v>
      </c>
      <c r="G272" t="s">
        <v>56</v>
      </c>
      <c r="H272">
        <v>41</v>
      </c>
      <c r="I272" s="4">
        <v>0.60763888888888895</v>
      </c>
      <c r="J272">
        <v>21.6</v>
      </c>
      <c r="K272">
        <v>28</v>
      </c>
      <c r="M272" t="s">
        <v>59</v>
      </c>
      <c r="N272">
        <v>4</v>
      </c>
      <c r="O272">
        <v>1014.7</v>
      </c>
      <c r="P272">
        <v>30.7</v>
      </c>
      <c r="Q272">
        <v>14</v>
      </c>
      <c r="S272" t="s">
        <v>57</v>
      </c>
      <c r="T272">
        <v>22</v>
      </c>
      <c r="U272">
        <v>1009</v>
      </c>
    </row>
    <row r="273" spans="1:21" x14ac:dyDescent="0.5">
      <c r="A273" s="3">
        <v>43553</v>
      </c>
      <c r="B273">
        <v>12.9</v>
      </c>
      <c r="C273">
        <v>34.700000000000003</v>
      </c>
      <c r="G273" t="s">
        <v>56</v>
      </c>
      <c r="H273">
        <v>57</v>
      </c>
      <c r="I273" s="4">
        <v>0.64097222222222217</v>
      </c>
      <c r="J273">
        <v>24.1</v>
      </c>
      <c r="K273">
        <v>23</v>
      </c>
      <c r="M273" t="s">
        <v>18</v>
      </c>
      <c r="N273">
        <v>2</v>
      </c>
      <c r="O273">
        <v>1011</v>
      </c>
      <c r="P273">
        <v>34.4</v>
      </c>
      <c r="Q273">
        <v>11</v>
      </c>
      <c r="S273" t="s">
        <v>55</v>
      </c>
      <c r="T273">
        <v>33</v>
      </c>
      <c r="U273">
        <v>1007.6</v>
      </c>
    </row>
    <row r="274" spans="1:21" x14ac:dyDescent="0.5">
      <c r="A274" s="3">
        <v>43554</v>
      </c>
      <c r="B274">
        <v>17.600000000000001</v>
      </c>
      <c r="C274">
        <v>26.2</v>
      </c>
      <c r="G274" t="s">
        <v>50</v>
      </c>
      <c r="H274">
        <v>41</v>
      </c>
      <c r="I274" s="4">
        <v>0.52083333333333337</v>
      </c>
      <c r="J274">
        <v>18.8</v>
      </c>
      <c r="K274">
        <v>43</v>
      </c>
      <c r="M274" t="s">
        <v>50</v>
      </c>
      <c r="N274">
        <v>26</v>
      </c>
      <c r="O274">
        <v>1018.7</v>
      </c>
      <c r="P274">
        <v>24.2</v>
      </c>
      <c r="Q274">
        <v>24</v>
      </c>
      <c r="S274" t="s">
        <v>57</v>
      </c>
      <c r="T274">
        <v>20</v>
      </c>
      <c r="U274">
        <v>1014.7</v>
      </c>
    </row>
    <row r="275" spans="1:21" x14ac:dyDescent="0.5">
      <c r="A275" s="3">
        <v>43555</v>
      </c>
      <c r="B275">
        <v>8.1</v>
      </c>
      <c r="C275">
        <v>25.9</v>
      </c>
      <c r="G275" t="s">
        <v>56</v>
      </c>
      <c r="H275">
        <v>46</v>
      </c>
      <c r="I275" s="4">
        <v>0.60347222222222219</v>
      </c>
      <c r="J275">
        <v>17.7</v>
      </c>
      <c r="K275">
        <v>30</v>
      </c>
      <c r="M275" t="s">
        <v>50</v>
      </c>
      <c r="N275">
        <v>15</v>
      </c>
      <c r="O275">
        <v>1020.5</v>
      </c>
      <c r="P275">
        <v>24.5</v>
      </c>
      <c r="Q275">
        <v>17</v>
      </c>
      <c r="S275" t="s">
        <v>50</v>
      </c>
      <c r="T275">
        <v>20</v>
      </c>
      <c r="U275">
        <v>1016</v>
      </c>
    </row>
    <row r="276" spans="1:21" x14ac:dyDescent="0.5">
      <c r="A276" s="3">
        <v>43556</v>
      </c>
      <c r="B276">
        <v>8.9</v>
      </c>
      <c r="C276">
        <v>27.8</v>
      </c>
      <c r="D276">
        <v>0</v>
      </c>
      <c r="E276">
        <v>34.4</v>
      </c>
      <c r="G276" t="s">
        <v>57</v>
      </c>
      <c r="H276">
        <v>54</v>
      </c>
      <c r="I276" s="4">
        <v>0.59444444444444444</v>
      </c>
      <c r="J276">
        <v>18.8</v>
      </c>
      <c r="K276">
        <v>30</v>
      </c>
      <c r="M276" t="s">
        <v>58</v>
      </c>
      <c r="N276">
        <v>19</v>
      </c>
      <c r="O276">
        <v>1020.3</v>
      </c>
      <c r="P276">
        <v>27.4</v>
      </c>
      <c r="Q276">
        <v>14</v>
      </c>
      <c r="S276" t="s">
        <v>58</v>
      </c>
      <c r="T276">
        <v>22</v>
      </c>
      <c r="U276">
        <v>1016.4</v>
      </c>
    </row>
    <row r="277" spans="1:21" x14ac:dyDescent="0.5">
      <c r="A277" s="3">
        <v>43557</v>
      </c>
      <c r="B277">
        <v>8.9</v>
      </c>
      <c r="C277">
        <v>30</v>
      </c>
      <c r="D277">
        <v>0</v>
      </c>
      <c r="E277">
        <v>10.199999999999999</v>
      </c>
      <c r="G277" t="s">
        <v>58</v>
      </c>
      <c r="H277">
        <v>43</v>
      </c>
      <c r="I277" s="4">
        <v>0.38472222222222219</v>
      </c>
      <c r="J277">
        <v>20</v>
      </c>
      <c r="K277">
        <v>29</v>
      </c>
      <c r="M277" t="s">
        <v>61</v>
      </c>
      <c r="N277">
        <v>17</v>
      </c>
      <c r="O277">
        <v>1020.2</v>
      </c>
      <c r="P277">
        <v>28.4</v>
      </c>
      <c r="Q277">
        <v>13</v>
      </c>
      <c r="S277" t="s">
        <v>58</v>
      </c>
      <c r="T277">
        <v>19</v>
      </c>
      <c r="U277">
        <v>1015.4</v>
      </c>
    </row>
    <row r="278" spans="1:21" x14ac:dyDescent="0.5">
      <c r="A278" s="3">
        <v>43558</v>
      </c>
      <c r="B278">
        <v>9.3000000000000007</v>
      </c>
      <c r="C278">
        <v>30.4</v>
      </c>
      <c r="D278">
        <v>0</v>
      </c>
      <c r="E278">
        <v>9.8000000000000007</v>
      </c>
      <c r="G278" t="s">
        <v>50</v>
      </c>
      <c r="H278">
        <v>48</v>
      </c>
      <c r="I278" s="4">
        <v>0.67222222222222217</v>
      </c>
      <c r="J278">
        <v>20.2</v>
      </c>
      <c r="K278">
        <v>24</v>
      </c>
      <c r="M278" t="s">
        <v>60</v>
      </c>
      <c r="N278">
        <v>6</v>
      </c>
      <c r="O278">
        <v>1020.6</v>
      </c>
      <c r="P278">
        <v>29.9</v>
      </c>
      <c r="Q278">
        <v>10</v>
      </c>
      <c r="S278" t="s">
        <v>58</v>
      </c>
      <c r="T278">
        <v>24</v>
      </c>
      <c r="U278">
        <v>1016.4</v>
      </c>
    </row>
    <row r="279" spans="1:21" x14ac:dyDescent="0.5">
      <c r="A279" s="3">
        <v>43559</v>
      </c>
      <c r="B279">
        <v>10.9</v>
      </c>
      <c r="C279">
        <v>32.5</v>
      </c>
      <c r="D279">
        <v>0</v>
      </c>
      <c r="G279" t="s">
        <v>58</v>
      </c>
      <c r="H279">
        <v>43</v>
      </c>
      <c r="I279" s="4">
        <v>0.44444444444444442</v>
      </c>
      <c r="J279">
        <v>21.7</v>
      </c>
      <c r="K279">
        <v>26</v>
      </c>
      <c r="M279" t="s">
        <v>58</v>
      </c>
      <c r="N279">
        <v>6</v>
      </c>
      <c r="O279">
        <v>1020.5</v>
      </c>
      <c r="P279">
        <v>31.6</v>
      </c>
      <c r="Q279">
        <v>16</v>
      </c>
      <c r="S279" t="s">
        <v>61</v>
      </c>
      <c r="T279">
        <v>22</v>
      </c>
      <c r="U279">
        <v>1015.3</v>
      </c>
    </row>
    <row r="280" spans="1:21" x14ac:dyDescent="0.5">
      <c r="A280" s="3">
        <v>43560</v>
      </c>
      <c r="B280">
        <v>13.4</v>
      </c>
      <c r="C280">
        <v>33.4</v>
      </c>
      <c r="D280">
        <v>0</v>
      </c>
      <c r="E280">
        <v>20.6</v>
      </c>
      <c r="G280" t="s">
        <v>56</v>
      </c>
      <c r="H280">
        <v>31</v>
      </c>
      <c r="I280" s="4">
        <v>0.71666666666666667</v>
      </c>
      <c r="J280">
        <v>25.9</v>
      </c>
      <c r="K280">
        <v>33</v>
      </c>
      <c r="M280" t="s">
        <v>60</v>
      </c>
      <c r="N280">
        <v>17</v>
      </c>
      <c r="O280">
        <v>1019.1</v>
      </c>
      <c r="P280">
        <v>32.200000000000003</v>
      </c>
      <c r="Q280">
        <v>18</v>
      </c>
      <c r="S280" t="s">
        <v>57</v>
      </c>
      <c r="T280">
        <v>17</v>
      </c>
      <c r="U280">
        <v>1014.5</v>
      </c>
    </row>
    <row r="281" spans="1:21" x14ac:dyDescent="0.5">
      <c r="A281" s="3">
        <v>43561</v>
      </c>
      <c r="B281">
        <v>14.7</v>
      </c>
      <c r="C281">
        <v>33.6</v>
      </c>
      <c r="D281">
        <v>0</v>
      </c>
      <c r="G281" t="s">
        <v>58</v>
      </c>
      <c r="H281">
        <v>46</v>
      </c>
      <c r="I281" s="4">
        <v>0.44444444444444442</v>
      </c>
      <c r="J281">
        <v>24.2</v>
      </c>
      <c r="K281">
        <v>34</v>
      </c>
      <c r="M281" t="s">
        <v>60</v>
      </c>
      <c r="N281">
        <v>7</v>
      </c>
      <c r="O281">
        <v>1019.5</v>
      </c>
      <c r="P281">
        <v>32.700000000000003</v>
      </c>
      <c r="Q281">
        <v>24</v>
      </c>
      <c r="S281" t="s">
        <v>57</v>
      </c>
      <c r="T281">
        <v>20</v>
      </c>
      <c r="U281">
        <v>1015.2</v>
      </c>
    </row>
    <row r="282" spans="1:21" x14ac:dyDescent="0.5">
      <c r="A282" s="3">
        <v>43562</v>
      </c>
      <c r="B282">
        <v>15.2</v>
      </c>
      <c r="C282">
        <v>33.9</v>
      </c>
      <c r="D282">
        <v>0</v>
      </c>
      <c r="G282" t="s">
        <v>50</v>
      </c>
      <c r="H282">
        <v>39</v>
      </c>
      <c r="I282" s="4">
        <v>0.44097222222222227</v>
      </c>
      <c r="J282">
        <v>25.8</v>
      </c>
      <c r="K282">
        <v>34</v>
      </c>
      <c r="M282" t="s">
        <v>51</v>
      </c>
      <c r="N282" t="s">
        <v>52</v>
      </c>
      <c r="O282">
        <v>1019.3</v>
      </c>
      <c r="P282">
        <v>32.700000000000003</v>
      </c>
      <c r="Q282">
        <v>19</v>
      </c>
      <c r="S282" t="s">
        <v>58</v>
      </c>
      <c r="T282">
        <v>24</v>
      </c>
      <c r="U282">
        <v>1014.1</v>
      </c>
    </row>
    <row r="283" spans="1:21" x14ac:dyDescent="0.5">
      <c r="A283" s="3">
        <v>43563</v>
      </c>
      <c r="B283">
        <v>15.8</v>
      </c>
      <c r="C283">
        <v>34.200000000000003</v>
      </c>
      <c r="D283">
        <v>0</v>
      </c>
      <c r="E283">
        <v>28.8</v>
      </c>
      <c r="G283" t="s">
        <v>50</v>
      </c>
      <c r="H283">
        <v>35</v>
      </c>
      <c r="I283" s="4">
        <v>0.50416666666666665</v>
      </c>
      <c r="J283">
        <v>27</v>
      </c>
      <c r="K283">
        <v>31</v>
      </c>
      <c r="M283" t="s">
        <v>51</v>
      </c>
      <c r="N283" t="s">
        <v>52</v>
      </c>
      <c r="O283">
        <v>1017.8</v>
      </c>
      <c r="P283">
        <v>33.4</v>
      </c>
      <c r="Q283">
        <v>15</v>
      </c>
      <c r="S283" t="s">
        <v>57</v>
      </c>
      <c r="T283">
        <v>13</v>
      </c>
      <c r="U283">
        <v>1013.6</v>
      </c>
    </row>
    <row r="284" spans="1:21" x14ac:dyDescent="0.5">
      <c r="A284" s="3">
        <v>43564</v>
      </c>
      <c r="B284">
        <v>16.2</v>
      </c>
      <c r="C284">
        <v>35</v>
      </c>
      <c r="D284">
        <v>0</v>
      </c>
      <c r="E284">
        <v>10.6</v>
      </c>
      <c r="G284" t="s">
        <v>58</v>
      </c>
      <c r="H284">
        <v>50</v>
      </c>
      <c r="I284" s="4">
        <v>0.48125000000000001</v>
      </c>
      <c r="J284">
        <v>27.6</v>
      </c>
      <c r="K284">
        <v>32</v>
      </c>
      <c r="M284" t="s">
        <v>60</v>
      </c>
      <c r="N284">
        <v>15</v>
      </c>
      <c r="O284">
        <v>1018.4</v>
      </c>
      <c r="P284">
        <v>33.700000000000003</v>
      </c>
      <c r="Q284">
        <v>16</v>
      </c>
      <c r="R284">
        <v>1</v>
      </c>
      <c r="S284" t="s">
        <v>50</v>
      </c>
      <c r="T284">
        <v>22</v>
      </c>
      <c r="U284">
        <v>1014.8</v>
      </c>
    </row>
    <row r="285" spans="1:21" x14ac:dyDescent="0.5">
      <c r="A285" s="3">
        <v>43565</v>
      </c>
      <c r="B285">
        <v>20.2</v>
      </c>
      <c r="C285">
        <v>32.799999999999997</v>
      </c>
      <c r="D285">
        <v>0</v>
      </c>
      <c r="E285">
        <v>15.2</v>
      </c>
      <c r="G285" t="s">
        <v>57</v>
      </c>
      <c r="H285">
        <v>44</v>
      </c>
      <c r="I285" s="4">
        <v>0.63680555555555551</v>
      </c>
      <c r="J285">
        <v>23.6</v>
      </c>
      <c r="K285">
        <v>29</v>
      </c>
      <c r="M285" t="s">
        <v>58</v>
      </c>
      <c r="N285">
        <v>17</v>
      </c>
      <c r="O285">
        <v>1020.7</v>
      </c>
      <c r="P285">
        <v>31.5</v>
      </c>
      <c r="Q285">
        <v>16</v>
      </c>
      <c r="S285" t="s">
        <v>50</v>
      </c>
      <c r="T285">
        <v>20</v>
      </c>
      <c r="U285">
        <v>1016.4</v>
      </c>
    </row>
    <row r="286" spans="1:21" x14ac:dyDescent="0.5">
      <c r="A286" s="3">
        <v>43566</v>
      </c>
      <c r="B286">
        <v>13.6</v>
      </c>
      <c r="C286">
        <v>30.5</v>
      </c>
      <c r="D286">
        <v>0</v>
      </c>
      <c r="E286">
        <v>10.6</v>
      </c>
      <c r="G286" t="s">
        <v>58</v>
      </c>
      <c r="H286">
        <v>37</v>
      </c>
      <c r="I286" s="4">
        <v>0.67708333333333337</v>
      </c>
      <c r="J286">
        <v>21.8</v>
      </c>
      <c r="K286">
        <v>29</v>
      </c>
      <c r="M286" t="s">
        <v>58</v>
      </c>
      <c r="N286">
        <v>24</v>
      </c>
      <c r="O286">
        <v>1020.3</v>
      </c>
      <c r="P286">
        <v>29</v>
      </c>
      <c r="Q286">
        <v>18</v>
      </c>
      <c r="S286" t="s">
        <v>50</v>
      </c>
      <c r="T286">
        <v>15</v>
      </c>
      <c r="U286">
        <v>1016</v>
      </c>
    </row>
    <row r="287" spans="1:21" x14ac:dyDescent="0.5">
      <c r="A287" s="3">
        <v>43567</v>
      </c>
      <c r="B287">
        <v>9</v>
      </c>
      <c r="C287">
        <v>28.8</v>
      </c>
      <c r="D287">
        <v>0</v>
      </c>
      <c r="E287">
        <v>10</v>
      </c>
      <c r="G287" t="s">
        <v>57</v>
      </c>
      <c r="H287">
        <v>48</v>
      </c>
      <c r="I287" s="4">
        <v>0.69444444444444453</v>
      </c>
      <c r="J287">
        <v>19.3</v>
      </c>
      <c r="K287">
        <v>20</v>
      </c>
      <c r="M287" t="s">
        <v>61</v>
      </c>
      <c r="N287">
        <v>19</v>
      </c>
      <c r="O287">
        <v>1019.5</v>
      </c>
      <c r="P287">
        <v>27.3</v>
      </c>
      <c r="Q287">
        <v>8</v>
      </c>
      <c r="S287" t="s">
        <v>57</v>
      </c>
      <c r="T287">
        <v>11</v>
      </c>
      <c r="U287">
        <v>1015.3</v>
      </c>
    </row>
    <row r="288" spans="1:21" x14ac:dyDescent="0.5">
      <c r="A288" s="3">
        <v>43568</v>
      </c>
      <c r="B288">
        <v>7.8</v>
      </c>
      <c r="C288">
        <v>32.299999999999997</v>
      </c>
      <c r="D288">
        <v>0</v>
      </c>
      <c r="G288" t="s">
        <v>61</v>
      </c>
      <c r="H288">
        <v>35</v>
      </c>
      <c r="I288" s="4">
        <v>0.43958333333333338</v>
      </c>
      <c r="J288">
        <v>22.1</v>
      </c>
      <c r="K288">
        <v>14</v>
      </c>
      <c r="M288" t="s">
        <v>61</v>
      </c>
      <c r="N288">
        <v>11</v>
      </c>
      <c r="O288">
        <v>1019.3</v>
      </c>
      <c r="P288">
        <v>31.4</v>
      </c>
      <c r="Q288">
        <v>9</v>
      </c>
      <c r="S288" t="s">
        <v>61</v>
      </c>
      <c r="T288">
        <v>15</v>
      </c>
      <c r="U288">
        <v>1014.2</v>
      </c>
    </row>
    <row r="289" spans="1:21" x14ac:dyDescent="0.5">
      <c r="A289" s="3">
        <v>43569</v>
      </c>
      <c r="B289">
        <v>13.6</v>
      </c>
      <c r="C289">
        <v>32.9</v>
      </c>
      <c r="D289">
        <v>0</v>
      </c>
      <c r="G289" t="s">
        <v>60</v>
      </c>
      <c r="H289">
        <v>33</v>
      </c>
      <c r="I289" s="4">
        <v>0.4145833333333333</v>
      </c>
      <c r="J289">
        <v>25.5</v>
      </c>
      <c r="K289">
        <v>32</v>
      </c>
      <c r="L289">
        <v>8</v>
      </c>
      <c r="M289" t="s">
        <v>60</v>
      </c>
      <c r="N289">
        <v>15</v>
      </c>
      <c r="O289">
        <v>1018.4</v>
      </c>
      <c r="P289">
        <v>32.4</v>
      </c>
      <c r="Q289">
        <v>15</v>
      </c>
      <c r="S289" t="s">
        <v>58</v>
      </c>
      <c r="T289">
        <v>22</v>
      </c>
      <c r="U289">
        <v>1013</v>
      </c>
    </row>
    <row r="290" spans="1:21" x14ac:dyDescent="0.5">
      <c r="A290" s="3">
        <v>43570</v>
      </c>
      <c r="B290">
        <v>13.3</v>
      </c>
      <c r="C290">
        <v>33.299999999999997</v>
      </c>
      <c r="D290">
        <v>0</v>
      </c>
      <c r="E290">
        <v>26.2</v>
      </c>
      <c r="G290" t="s">
        <v>61</v>
      </c>
      <c r="H290">
        <v>30</v>
      </c>
      <c r="I290" s="4">
        <v>0.44791666666666669</v>
      </c>
      <c r="J290">
        <v>25.8</v>
      </c>
      <c r="K290">
        <v>27</v>
      </c>
      <c r="M290" t="s">
        <v>16</v>
      </c>
      <c r="N290">
        <v>15</v>
      </c>
      <c r="O290">
        <v>1017.1</v>
      </c>
      <c r="P290">
        <v>32.6</v>
      </c>
      <c r="Q290">
        <v>11</v>
      </c>
      <c r="S290" t="s">
        <v>59</v>
      </c>
      <c r="T290">
        <v>7</v>
      </c>
      <c r="U290">
        <v>1012.5</v>
      </c>
    </row>
    <row r="291" spans="1:21" x14ac:dyDescent="0.5">
      <c r="A291" s="3">
        <v>43571</v>
      </c>
      <c r="B291">
        <v>14.7</v>
      </c>
      <c r="C291">
        <v>34</v>
      </c>
      <c r="D291">
        <v>0</v>
      </c>
      <c r="E291">
        <v>8.8000000000000007</v>
      </c>
      <c r="G291" t="s">
        <v>61</v>
      </c>
      <c r="H291">
        <v>33</v>
      </c>
      <c r="I291" s="4">
        <v>0.55972222222222223</v>
      </c>
      <c r="J291">
        <v>26.2</v>
      </c>
      <c r="K291">
        <v>27</v>
      </c>
      <c r="M291" t="s">
        <v>16</v>
      </c>
      <c r="N291">
        <v>13</v>
      </c>
      <c r="O291">
        <v>1017.6</v>
      </c>
      <c r="P291">
        <v>32.9</v>
      </c>
      <c r="Q291">
        <v>14</v>
      </c>
      <c r="S291" t="s">
        <v>61</v>
      </c>
      <c r="T291">
        <v>22</v>
      </c>
      <c r="U291">
        <v>1013.2</v>
      </c>
    </row>
    <row r="292" spans="1:21" x14ac:dyDescent="0.5">
      <c r="A292" s="3">
        <v>43572</v>
      </c>
      <c r="B292">
        <v>13.7</v>
      </c>
      <c r="C292">
        <v>33.9</v>
      </c>
      <c r="D292">
        <v>0</v>
      </c>
      <c r="E292">
        <v>10</v>
      </c>
      <c r="G292" t="s">
        <v>50</v>
      </c>
      <c r="H292">
        <v>33</v>
      </c>
      <c r="I292" s="4">
        <v>0.72222222222222221</v>
      </c>
      <c r="J292">
        <v>26.1</v>
      </c>
      <c r="K292">
        <v>27</v>
      </c>
      <c r="M292" t="s">
        <v>16</v>
      </c>
      <c r="N292">
        <v>15</v>
      </c>
      <c r="O292">
        <v>1017.7</v>
      </c>
      <c r="P292">
        <v>32.700000000000003</v>
      </c>
      <c r="Q292">
        <v>14</v>
      </c>
      <c r="S292" t="s">
        <v>58</v>
      </c>
      <c r="T292">
        <v>9</v>
      </c>
      <c r="U292">
        <v>1014.5</v>
      </c>
    </row>
    <row r="293" spans="1:21" x14ac:dyDescent="0.5">
      <c r="A293" s="3">
        <v>43573</v>
      </c>
      <c r="B293">
        <v>14</v>
      </c>
      <c r="C293">
        <v>32.799999999999997</v>
      </c>
      <c r="D293">
        <v>0</v>
      </c>
      <c r="E293">
        <v>8.8000000000000007</v>
      </c>
      <c r="G293" t="s">
        <v>58</v>
      </c>
      <c r="H293">
        <v>56</v>
      </c>
      <c r="I293" s="4">
        <v>0.49305555555555558</v>
      </c>
      <c r="J293">
        <v>24.2</v>
      </c>
      <c r="K293">
        <v>28</v>
      </c>
      <c r="M293" t="s">
        <v>58</v>
      </c>
      <c r="N293">
        <v>7</v>
      </c>
      <c r="O293">
        <v>1020.3</v>
      </c>
      <c r="P293">
        <v>32.1</v>
      </c>
      <c r="Q293">
        <v>14</v>
      </c>
      <c r="S293" t="s">
        <v>61</v>
      </c>
      <c r="T293">
        <v>26</v>
      </c>
      <c r="U293">
        <v>1016.1</v>
      </c>
    </row>
    <row r="294" spans="1:21" x14ac:dyDescent="0.5">
      <c r="A294" s="3">
        <v>43574</v>
      </c>
      <c r="B294">
        <v>10.7</v>
      </c>
      <c r="C294">
        <v>32</v>
      </c>
      <c r="D294">
        <v>0</v>
      </c>
      <c r="G294" t="s">
        <v>60</v>
      </c>
      <c r="H294">
        <v>41</v>
      </c>
      <c r="I294" s="4">
        <v>0.4826388888888889</v>
      </c>
      <c r="J294">
        <v>24.8</v>
      </c>
      <c r="K294">
        <v>26</v>
      </c>
      <c r="M294" t="s">
        <v>61</v>
      </c>
      <c r="N294">
        <v>17</v>
      </c>
      <c r="O294">
        <v>1019.4</v>
      </c>
      <c r="P294">
        <v>31.5</v>
      </c>
      <c r="Q294">
        <v>16</v>
      </c>
      <c r="S294" t="s">
        <v>58</v>
      </c>
      <c r="T294">
        <v>19</v>
      </c>
      <c r="U294">
        <v>1014.3</v>
      </c>
    </row>
    <row r="295" spans="1:21" x14ac:dyDescent="0.5">
      <c r="A295" s="3">
        <v>43575</v>
      </c>
      <c r="B295">
        <v>13.6</v>
      </c>
      <c r="C295">
        <v>31.8</v>
      </c>
      <c r="D295">
        <v>0</v>
      </c>
      <c r="G295" t="s">
        <v>16</v>
      </c>
      <c r="H295">
        <v>31</v>
      </c>
      <c r="I295" s="4">
        <v>0.40277777777777773</v>
      </c>
      <c r="J295">
        <v>25.8</v>
      </c>
      <c r="K295">
        <v>30</v>
      </c>
      <c r="L295">
        <v>3</v>
      </c>
      <c r="M295" t="s">
        <v>14</v>
      </c>
      <c r="N295">
        <v>19</v>
      </c>
      <c r="O295">
        <v>1017</v>
      </c>
      <c r="P295">
        <v>30.8</v>
      </c>
      <c r="Q295">
        <v>15</v>
      </c>
      <c r="S295" t="s">
        <v>56</v>
      </c>
      <c r="T295">
        <v>9</v>
      </c>
      <c r="U295">
        <v>1012.6</v>
      </c>
    </row>
    <row r="296" spans="1:21" x14ac:dyDescent="0.5">
      <c r="A296" s="3">
        <v>43576</v>
      </c>
      <c r="B296">
        <v>17.2</v>
      </c>
      <c r="C296">
        <v>26.5</v>
      </c>
      <c r="D296">
        <v>0</v>
      </c>
      <c r="G296" t="s">
        <v>56</v>
      </c>
      <c r="H296">
        <v>31</v>
      </c>
      <c r="I296" s="4">
        <v>0.8041666666666667</v>
      </c>
      <c r="J296">
        <v>18.5</v>
      </c>
      <c r="K296">
        <v>63</v>
      </c>
      <c r="L296">
        <v>8</v>
      </c>
      <c r="M296" t="s">
        <v>56</v>
      </c>
      <c r="N296">
        <v>15</v>
      </c>
      <c r="O296">
        <v>1018.6</v>
      </c>
      <c r="P296">
        <v>25.6</v>
      </c>
      <c r="Q296">
        <v>35</v>
      </c>
      <c r="S296" t="s">
        <v>57</v>
      </c>
      <c r="T296">
        <v>13</v>
      </c>
      <c r="U296">
        <v>1015.6</v>
      </c>
    </row>
    <row r="297" spans="1:21" x14ac:dyDescent="0.5">
      <c r="A297" s="3">
        <v>43577</v>
      </c>
      <c r="B297">
        <v>12.7</v>
      </c>
      <c r="C297">
        <v>24.5</v>
      </c>
      <c r="D297">
        <v>0</v>
      </c>
      <c r="G297" t="s">
        <v>56</v>
      </c>
      <c r="H297">
        <v>35</v>
      </c>
      <c r="I297" s="4">
        <v>0.6118055555555556</v>
      </c>
      <c r="J297">
        <v>16.7</v>
      </c>
      <c r="K297">
        <v>46</v>
      </c>
      <c r="M297" t="s">
        <v>50</v>
      </c>
      <c r="N297">
        <v>24</v>
      </c>
      <c r="O297">
        <v>1021.9</v>
      </c>
      <c r="P297">
        <v>23.7</v>
      </c>
      <c r="Q297">
        <v>31</v>
      </c>
      <c r="S297" t="s">
        <v>50</v>
      </c>
      <c r="T297">
        <v>17</v>
      </c>
      <c r="U297">
        <v>1018.1</v>
      </c>
    </row>
    <row r="298" spans="1:21" x14ac:dyDescent="0.5">
      <c r="A298" s="3">
        <v>43578</v>
      </c>
      <c r="B298">
        <v>8.9</v>
      </c>
      <c r="C298">
        <v>27</v>
      </c>
      <c r="D298">
        <v>0</v>
      </c>
      <c r="G298" t="s">
        <v>50</v>
      </c>
      <c r="H298">
        <v>37</v>
      </c>
      <c r="I298" s="4">
        <v>0.64583333333333337</v>
      </c>
      <c r="J298">
        <v>16.5</v>
      </c>
      <c r="K298">
        <v>42</v>
      </c>
      <c r="M298" t="s">
        <v>57</v>
      </c>
      <c r="N298">
        <v>13</v>
      </c>
      <c r="O298">
        <v>1022</v>
      </c>
      <c r="P298">
        <v>26</v>
      </c>
      <c r="Q298">
        <v>29</v>
      </c>
      <c r="S298" t="s">
        <v>50</v>
      </c>
      <c r="T298">
        <v>13</v>
      </c>
      <c r="U298">
        <v>1017.5</v>
      </c>
    </row>
    <row r="299" spans="1:21" x14ac:dyDescent="0.5">
      <c r="A299" s="3">
        <v>43579</v>
      </c>
      <c r="B299">
        <v>11.4</v>
      </c>
      <c r="C299">
        <v>27.3</v>
      </c>
      <c r="D299">
        <v>0</v>
      </c>
      <c r="G299" t="s">
        <v>50</v>
      </c>
      <c r="H299">
        <v>44</v>
      </c>
      <c r="I299" s="4">
        <v>0.53541666666666665</v>
      </c>
      <c r="J299">
        <v>19.899999999999999</v>
      </c>
      <c r="K299">
        <v>56</v>
      </c>
      <c r="M299" t="s">
        <v>50</v>
      </c>
      <c r="N299">
        <v>22</v>
      </c>
      <c r="O299">
        <v>1022.3</v>
      </c>
      <c r="P299">
        <v>26.2</v>
      </c>
      <c r="Q299">
        <v>25</v>
      </c>
      <c r="S299" t="s">
        <v>56</v>
      </c>
      <c r="T299">
        <v>24</v>
      </c>
      <c r="U299">
        <v>1018.5</v>
      </c>
    </row>
    <row r="300" spans="1:21" x14ac:dyDescent="0.5">
      <c r="A300" s="3">
        <v>43580</v>
      </c>
      <c r="B300">
        <v>9.9</v>
      </c>
      <c r="C300">
        <v>26</v>
      </c>
      <c r="D300">
        <v>0</v>
      </c>
      <c r="G300" t="s">
        <v>56</v>
      </c>
      <c r="H300">
        <v>39</v>
      </c>
      <c r="I300" s="4">
        <v>0.59583333333333333</v>
      </c>
      <c r="J300">
        <v>18.7</v>
      </c>
      <c r="K300">
        <v>40</v>
      </c>
      <c r="M300" t="s">
        <v>57</v>
      </c>
      <c r="N300">
        <v>17</v>
      </c>
      <c r="O300">
        <v>1020.7</v>
      </c>
      <c r="P300">
        <v>24.7</v>
      </c>
      <c r="Q300">
        <v>26</v>
      </c>
      <c r="S300" t="s">
        <v>57</v>
      </c>
      <c r="T300">
        <v>22</v>
      </c>
      <c r="U300">
        <v>1016.4</v>
      </c>
    </row>
    <row r="301" spans="1:21" x14ac:dyDescent="0.5">
      <c r="A301" s="3">
        <v>43581</v>
      </c>
      <c r="B301">
        <v>17.899999999999999</v>
      </c>
      <c r="C301">
        <v>26.7</v>
      </c>
      <c r="D301">
        <v>0</v>
      </c>
      <c r="G301" t="s">
        <v>50</v>
      </c>
      <c r="H301">
        <v>52</v>
      </c>
      <c r="I301" s="4">
        <v>0.45416666666666666</v>
      </c>
      <c r="J301">
        <v>21</v>
      </c>
      <c r="K301">
        <v>43</v>
      </c>
      <c r="L301">
        <v>1</v>
      </c>
      <c r="M301" t="s">
        <v>50</v>
      </c>
      <c r="N301">
        <v>30</v>
      </c>
      <c r="O301">
        <v>1019.8</v>
      </c>
      <c r="P301">
        <v>25.2</v>
      </c>
      <c r="Q301">
        <v>31</v>
      </c>
      <c r="R301">
        <v>4</v>
      </c>
      <c r="S301" t="s">
        <v>57</v>
      </c>
      <c r="T301">
        <v>30</v>
      </c>
      <c r="U301">
        <v>1017</v>
      </c>
    </row>
    <row r="302" spans="1:21" x14ac:dyDescent="0.5">
      <c r="A302" s="3">
        <v>43582</v>
      </c>
      <c r="B302">
        <v>16.100000000000001</v>
      </c>
      <c r="C302">
        <v>25</v>
      </c>
      <c r="D302">
        <v>0</v>
      </c>
      <c r="G302" t="s">
        <v>50</v>
      </c>
      <c r="H302">
        <v>41</v>
      </c>
      <c r="I302" s="4">
        <v>0.66041666666666665</v>
      </c>
      <c r="J302">
        <v>17.399999999999999</v>
      </c>
      <c r="K302">
        <v>45</v>
      </c>
      <c r="L302">
        <v>8</v>
      </c>
      <c r="M302" t="s">
        <v>57</v>
      </c>
      <c r="N302">
        <v>17</v>
      </c>
      <c r="O302">
        <v>1022.8</v>
      </c>
      <c r="P302">
        <v>24.3</v>
      </c>
      <c r="Q302">
        <v>30</v>
      </c>
      <c r="R302">
        <v>8</v>
      </c>
      <c r="S302" t="s">
        <v>50</v>
      </c>
      <c r="T302">
        <v>30</v>
      </c>
      <c r="U302">
        <v>1020.1</v>
      </c>
    </row>
    <row r="303" spans="1:21" x14ac:dyDescent="0.5">
      <c r="A303" s="3">
        <v>43583</v>
      </c>
      <c r="B303">
        <v>14</v>
      </c>
      <c r="C303">
        <v>26</v>
      </c>
      <c r="D303">
        <v>0</v>
      </c>
      <c r="G303" t="s">
        <v>50</v>
      </c>
      <c r="H303">
        <v>43</v>
      </c>
      <c r="I303" s="4">
        <v>2.2222222222222223E-2</v>
      </c>
      <c r="J303">
        <v>17</v>
      </c>
      <c r="K303">
        <v>39</v>
      </c>
      <c r="L303">
        <v>7</v>
      </c>
      <c r="M303" t="s">
        <v>50</v>
      </c>
      <c r="N303">
        <v>22</v>
      </c>
      <c r="O303">
        <v>1024</v>
      </c>
      <c r="P303">
        <v>24.7</v>
      </c>
      <c r="Q303">
        <v>26</v>
      </c>
      <c r="R303">
        <v>6</v>
      </c>
      <c r="S303" t="s">
        <v>58</v>
      </c>
      <c r="T303">
        <v>22</v>
      </c>
      <c r="U303">
        <v>1020.2</v>
      </c>
    </row>
    <row r="304" spans="1:21" x14ac:dyDescent="0.5">
      <c r="A304" s="3">
        <v>43584</v>
      </c>
      <c r="B304">
        <v>11.6</v>
      </c>
      <c r="C304">
        <v>23.9</v>
      </c>
      <c r="D304">
        <v>0</v>
      </c>
      <c r="G304" t="s">
        <v>61</v>
      </c>
      <c r="H304">
        <v>28</v>
      </c>
      <c r="I304" s="4">
        <v>0.41736111111111113</v>
      </c>
      <c r="J304">
        <v>16.8</v>
      </c>
      <c r="K304">
        <v>29</v>
      </c>
      <c r="L304">
        <v>8</v>
      </c>
      <c r="M304" t="s">
        <v>58</v>
      </c>
      <c r="N304">
        <v>11</v>
      </c>
      <c r="O304">
        <v>1021.5</v>
      </c>
      <c r="P304">
        <v>23.1</v>
      </c>
      <c r="Q304">
        <v>20</v>
      </c>
      <c r="R304">
        <v>8</v>
      </c>
      <c r="S304" t="s">
        <v>61</v>
      </c>
      <c r="T304">
        <v>13</v>
      </c>
      <c r="U304">
        <v>1016.6</v>
      </c>
    </row>
    <row r="305" spans="1:21" x14ac:dyDescent="0.5">
      <c r="A305" s="3">
        <v>43585</v>
      </c>
      <c r="B305">
        <v>11.8</v>
      </c>
      <c r="C305">
        <v>28.4</v>
      </c>
      <c r="D305">
        <v>0</v>
      </c>
      <c r="E305">
        <v>7.4</v>
      </c>
      <c r="G305" t="s">
        <v>54</v>
      </c>
      <c r="H305">
        <v>46</v>
      </c>
      <c r="I305" s="4">
        <v>0.66597222222222219</v>
      </c>
      <c r="J305">
        <v>23.1</v>
      </c>
      <c r="K305">
        <v>41</v>
      </c>
      <c r="L305">
        <v>5</v>
      </c>
      <c r="M305" t="s">
        <v>15</v>
      </c>
      <c r="N305">
        <v>20</v>
      </c>
      <c r="O305">
        <v>1013.8</v>
      </c>
      <c r="P305">
        <v>26.1</v>
      </c>
      <c r="Q305">
        <v>39</v>
      </c>
      <c r="R305">
        <v>8</v>
      </c>
      <c r="S305" t="s">
        <v>19</v>
      </c>
      <c r="T305">
        <v>22</v>
      </c>
      <c r="U305">
        <v>1010.2</v>
      </c>
    </row>
    <row r="306" spans="1:21" x14ac:dyDescent="0.5">
      <c r="A306" s="3">
        <v>43586</v>
      </c>
      <c r="B306">
        <v>13.3</v>
      </c>
      <c r="C306">
        <v>31</v>
      </c>
      <c r="D306">
        <v>0.4</v>
      </c>
      <c r="E306">
        <v>4.2</v>
      </c>
      <c r="G306" t="s">
        <v>18</v>
      </c>
      <c r="H306">
        <v>43</v>
      </c>
      <c r="I306" s="4">
        <v>0.65</v>
      </c>
      <c r="J306">
        <v>20.3</v>
      </c>
      <c r="K306">
        <v>72</v>
      </c>
      <c r="M306" t="s">
        <v>14</v>
      </c>
      <c r="N306">
        <v>7</v>
      </c>
      <c r="O306">
        <v>1012.8</v>
      </c>
      <c r="P306">
        <v>30.8</v>
      </c>
      <c r="Q306">
        <v>28</v>
      </c>
      <c r="R306">
        <v>2</v>
      </c>
      <c r="S306" t="s">
        <v>19</v>
      </c>
      <c r="T306">
        <v>24</v>
      </c>
      <c r="U306">
        <v>1009.3</v>
      </c>
    </row>
    <row r="307" spans="1:21" x14ac:dyDescent="0.5">
      <c r="A307" s="3">
        <v>43587</v>
      </c>
      <c r="B307">
        <v>16.7</v>
      </c>
      <c r="C307">
        <v>24.4</v>
      </c>
      <c r="D307">
        <v>2.4</v>
      </c>
      <c r="E307">
        <v>5.8</v>
      </c>
      <c r="G307" t="s">
        <v>58</v>
      </c>
      <c r="H307">
        <v>30</v>
      </c>
      <c r="I307" s="4">
        <v>0.55486111111111114</v>
      </c>
      <c r="J307">
        <v>17.8</v>
      </c>
      <c r="K307">
        <v>69</v>
      </c>
      <c r="L307">
        <v>8</v>
      </c>
      <c r="M307" t="s">
        <v>50</v>
      </c>
      <c r="N307">
        <v>15</v>
      </c>
      <c r="O307">
        <v>1019</v>
      </c>
      <c r="P307">
        <v>23.9</v>
      </c>
      <c r="Q307">
        <v>57</v>
      </c>
      <c r="S307" t="s">
        <v>50</v>
      </c>
      <c r="T307">
        <v>13</v>
      </c>
      <c r="U307">
        <v>1015.7</v>
      </c>
    </row>
    <row r="308" spans="1:21" x14ac:dyDescent="0.5">
      <c r="A308" s="3">
        <v>43588</v>
      </c>
      <c r="B308">
        <v>13.6</v>
      </c>
      <c r="C308">
        <v>24.3</v>
      </c>
      <c r="D308">
        <v>2.8</v>
      </c>
      <c r="E308">
        <v>3.8</v>
      </c>
      <c r="G308" t="s">
        <v>58</v>
      </c>
      <c r="H308">
        <v>33</v>
      </c>
      <c r="I308" s="4">
        <v>0.4458333333333333</v>
      </c>
      <c r="J308">
        <v>16.600000000000001</v>
      </c>
      <c r="K308">
        <v>52</v>
      </c>
      <c r="M308" t="s">
        <v>58</v>
      </c>
      <c r="N308">
        <v>17</v>
      </c>
      <c r="O308">
        <v>1022.7</v>
      </c>
      <c r="P308">
        <v>24.1</v>
      </c>
      <c r="Q308">
        <v>33</v>
      </c>
      <c r="S308" t="s">
        <v>61</v>
      </c>
      <c r="T308">
        <v>19</v>
      </c>
      <c r="U308">
        <v>1019.5</v>
      </c>
    </row>
    <row r="309" spans="1:21" x14ac:dyDescent="0.5">
      <c r="A309" s="3">
        <v>43589</v>
      </c>
      <c r="B309">
        <v>8.4</v>
      </c>
      <c r="C309">
        <v>23.5</v>
      </c>
      <c r="D309">
        <v>0</v>
      </c>
      <c r="G309" t="s">
        <v>50</v>
      </c>
      <c r="H309">
        <v>39</v>
      </c>
      <c r="I309" s="4">
        <v>0.53611111111111109</v>
      </c>
      <c r="J309">
        <v>16.100000000000001</v>
      </c>
      <c r="K309">
        <v>47</v>
      </c>
      <c r="M309" t="s">
        <v>50</v>
      </c>
      <c r="N309">
        <v>11</v>
      </c>
      <c r="O309">
        <v>1024.9000000000001</v>
      </c>
      <c r="P309">
        <v>22.2</v>
      </c>
      <c r="Q309">
        <v>22</v>
      </c>
      <c r="S309" t="s">
        <v>58</v>
      </c>
      <c r="T309">
        <v>19</v>
      </c>
      <c r="U309">
        <v>1020.6</v>
      </c>
    </row>
    <row r="310" spans="1:21" x14ac:dyDescent="0.5">
      <c r="A310" s="3">
        <v>43590</v>
      </c>
      <c r="B310">
        <v>5.0999999999999996</v>
      </c>
      <c r="C310">
        <v>23.3</v>
      </c>
      <c r="D310">
        <v>0</v>
      </c>
      <c r="G310" t="s">
        <v>50</v>
      </c>
      <c r="H310">
        <v>33</v>
      </c>
      <c r="I310" s="4">
        <v>0.44097222222222227</v>
      </c>
      <c r="J310">
        <v>13.6</v>
      </c>
      <c r="K310">
        <v>53</v>
      </c>
      <c r="M310" t="s">
        <v>54</v>
      </c>
      <c r="N310">
        <v>2</v>
      </c>
      <c r="O310">
        <v>1024.8</v>
      </c>
      <c r="P310">
        <v>22.5</v>
      </c>
      <c r="Q310">
        <v>23</v>
      </c>
      <c r="S310" t="s">
        <v>61</v>
      </c>
      <c r="T310">
        <v>13</v>
      </c>
      <c r="U310">
        <v>1019.9</v>
      </c>
    </row>
    <row r="311" spans="1:21" x14ac:dyDescent="0.5">
      <c r="A311" s="3">
        <v>43591</v>
      </c>
      <c r="B311">
        <v>5</v>
      </c>
      <c r="C311">
        <v>24.4</v>
      </c>
      <c r="D311">
        <v>0</v>
      </c>
      <c r="G311" t="s">
        <v>61</v>
      </c>
      <c r="H311">
        <v>30</v>
      </c>
      <c r="I311" s="4">
        <v>0.4145833333333333</v>
      </c>
      <c r="J311">
        <v>13.5</v>
      </c>
      <c r="K311">
        <v>49</v>
      </c>
      <c r="M311" t="s">
        <v>50</v>
      </c>
      <c r="N311">
        <v>9</v>
      </c>
      <c r="O311">
        <v>1022.1</v>
      </c>
      <c r="P311">
        <v>23.9</v>
      </c>
      <c r="Q311">
        <v>17</v>
      </c>
      <c r="S311" t="s">
        <v>58</v>
      </c>
      <c r="T311">
        <v>13</v>
      </c>
      <c r="U311">
        <v>1017.6</v>
      </c>
    </row>
    <row r="312" spans="1:21" x14ac:dyDescent="0.5">
      <c r="A312" s="3">
        <v>43592</v>
      </c>
      <c r="B312">
        <v>5.0999999999999996</v>
      </c>
      <c r="C312">
        <v>28.5</v>
      </c>
      <c r="D312">
        <v>0</v>
      </c>
      <c r="E312">
        <v>25.6</v>
      </c>
      <c r="G312" t="s">
        <v>55</v>
      </c>
      <c r="H312">
        <v>37</v>
      </c>
      <c r="I312" s="4">
        <v>0.66319444444444442</v>
      </c>
      <c r="J312">
        <v>15.5</v>
      </c>
      <c r="K312">
        <v>35</v>
      </c>
      <c r="M312" t="s">
        <v>53</v>
      </c>
      <c r="N312">
        <v>4</v>
      </c>
      <c r="O312">
        <v>1019.5</v>
      </c>
      <c r="P312">
        <v>27.8</v>
      </c>
      <c r="Q312">
        <v>11</v>
      </c>
      <c r="S312" t="s">
        <v>56</v>
      </c>
      <c r="T312">
        <v>26</v>
      </c>
      <c r="U312">
        <v>1016.3</v>
      </c>
    </row>
    <row r="313" spans="1:21" x14ac:dyDescent="0.5">
      <c r="A313" s="3">
        <v>43593</v>
      </c>
      <c r="B313">
        <v>8</v>
      </c>
      <c r="C313">
        <v>22.3</v>
      </c>
      <c r="D313">
        <v>0</v>
      </c>
      <c r="E313">
        <v>6.6</v>
      </c>
      <c r="G313" t="s">
        <v>50</v>
      </c>
      <c r="H313">
        <v>41</v>
      </c>
      <c r="I313" s="4">
        <v>0.4513888888888889</v>
      </c>
      <c r="J313">
        <v>16</v>
      </c>
      <c r="K313">
        <v>44</v>
      </c>
      <c r="M313" t="s">
        <v>50</v>
      </c>
      <c r="N313">
        <v>17</v>
      </c>
      <c r="O313">
        <v>1022.5</v>
      </c>
      <c r="P313">
        <v>21.3</v>
      </c>
      <c r="Q313">
        <v>29</v>
      </c>
      <c r="S313" t="s">
        <v>50</v>
      </c>
      <c r="T313">
        <v>17</v>
      </c>
      <c r="U313">
        <v>1018.7</v>
      </c>
    </row>
    <row r="314" spans="1:21" x14ac:dyDescent="0.5">
      <c r="A314" s="3">
        <v>43594</v>
      </c>
      <c r="B314">
        <v>5.0999999999999996</v>
      </c>
      <c r="C314">
        <v>22.8</v>
      </c>
      <c r="D314">
        <v>0</v>
      </c>
      <c r="E314">
        <v>7</v>
      </c>
      <c r="G314" t="s">
        <v>56</v>
      </c>
      <c r="H314">
        <v>43</v>
      </c>
      <c r="I314" s="4">
        <v>0.99722222222222223</v>
      </c>
      <c r="J314">
        <v>14.5</v>
      </c>
      <c r="K314">
        <v>35</v>
      </c>
      <c r="M314" t="s">
        <v>19</v>
      </c>
      <c r="N314">
        <v>9</v>
      </c>
      <c r="O314">
        <v>1022</v>
      </c>
      <c r="P314">
        <v>21.3</v>
      </c>
      <c r="Q314">
        <v>29</v>
      </c>
      <c r="S314" t="s">
        <v>56</v>
      </c>
      <c r="T314">
        <v>19</v>
      </c>
      <c r="U314">
        <v>1019.2</v>
      </c>
    </row>
    <row r="315" spans="1:21" x14ac:dyDescent="0.5">
      <c r="A315" s="3">
        <v>43595</v>
      </c>
      <c r="B315">
        <v>7.3</v>
      </c>
      <c r="C315">
        <v>17.100000000000001</v>
      </c>
      <c r="D315">
        <v>0</v>
      </c>
      <c r="G315" t="s">
        <v>57</v>
      </c>
      <c r="H315">
        <v>44</v>
      </c>
      <c r="I315" s="4">
        <v>0.59305555555555556</v>
      </c>
      <c r="J315">
        <v>11.1</v>
      </c>
      <c r="K315">
        <v>55</v>
      </c>
      <c r="M315" t="s">
        <v>56</v>
      </c>
      <c r="N315">
        <v>26</v>
      </c>
      <c r="O315">
        <v>1029</v>
      </c>
      <c r="P315">
        <v>15.8</v>
      </c>
      <c r="Q315">
        <v>32</v>
      </c>
      <c r="S315" t="s">
        <v>57</v>
      </c>
      <c r="T315">
        <v>26</v>
      </c>
      <c r="U315">
        <v>1027</v>
      </c>
    </row>
    <row r="316" spans="1:21" x14ac:dyDescent="0.5">
      <c r="A316" s="3">
        <v>43596</v>
      </c>
      <c r="B316">
        <v>2.5</v>
      </c>
      <c r="C316">
        <v>17.5</v>
      </c>
      <c r="D316">
        <v>0</v>
      </c>
      <c r="G316" t="s">
        <v>50</v>
      </c>
      <c r="H316">
        <v>56</v>
      </c>
      <c r="I316" s="4">
        <v>0.41666666666666669</v>
      </c>
      <c r="J316">
        <v>10.8</v>
      </c>
      <c r="K316">
        <v>49</v>
      </c>
      <c r="M316" t="s">
        <v>50</v>
      </c>
      <c r="N316">
        <v>24</v>
      </c>
      <c r="O316">
        <v>1029.8</v>
      </c>
      <c r="P316">
        <v>16.600000000000001</v>
      </c>
      <c r="Q316">
        <v>29</v>
      </c>
      <c r="S316" t="s">
        <v>50</v>
      </c>
      <c r="T316">
        <v>28</v>
      </c>
      <c r="U316">
        <v>1025.9000000000001</v>
      </c>
    </row>
    <row r="317" spans="1:21" x14ac:dyDescent="0.5">
      <c r="A317" s="3">
        <v>43597</v>
      </c>
      <c r="B317">
        <v>1</v>
      </c>
      <c r="C317">
        <v>19</v>
      </c>
      <c r="D317">
        <v>0</v>
      </c>
      <c r="G317" t="s">
        <v>58</v>
      </c>
      <c r="H317">
        <v>39</v>
      </c>
      <c r="I317" s="4">
        <v>0.4236111111111111</v>
      </c>
      <c r="J317">
        <v>9.8000000000000007</v>
      </c>
      <c r="K317">
        <v>48</v>
      </c>
      <c r="M317" t="s">
        <v>58</v>
      </c>
      <c r="N317">
        <v>17</v>
      </c>
      <c r="O317">
        <v>1026.5</v>
      </c>
      <c r="P317">
        <v>18.7</v>
      </c>
      <c r="Q317">
        <v>22</v>
      </c>
      <c r="R317">
        <v>7</v>
      </c>
      <c r="S317" t="s">
        <v>58</v>
      </c>
      <c r="T317">
        <v>26</v>
      </c>
      <c r="U317">
        <v>1022</v>
      </c>
    </row>
    <row r="318" spans="1:21" x14ac:dyDescent="0.5">
      <c r="A318" s="3">
        <v>43598</v>
      </c>
      <c r="B318">
        <v>2.8</v>
      </c>
      <c r="C318">
        <v>22.5</v>
      </c>
      <c r="D318">
        <v>0</v>
      </c>
      <c r="E318">
        <v>27</v>
      </c>
      <c r="G318" t="s">
        <v>50</v>
      </c>
      <c r="H318">
        <v>30</v>
      </c>
      <c r="I318" s="4">
        <v>0.70694444444444438</v>
      </c>
      <c r="J318">
        <v>11.5</v>
      </c>
      <c r="K318">
        <v>39</v>
      </c>
      <c r="M318" t="s">
        <v>51</v>
      </c>
      <c r="N318" t="s">
        <v>52</v>
      </c>
      <c r="O318">
        <v>1023.5</v>
      </c>
      <c r="P318">
        <v>22.1</v>
      </c>
      <c r="Q318">
        <v>17</v>
      </c>
      <c r="S318" t="s">
        <v>57</v>
      </c>
      <c r="T318">
        <v>19</v>
      </c>
      <c r="U318">
        <v>1019.5</v>
      </c>
    </row>
    <row r="319" spans="1:21" x14ac:dyDescent="0.5">
      <c r="A319" s="3">
        <v>43599</v>
      </c>
      <c r="B319">
        <v>2.7</v>
      </c>
      <c r="C319">
        <v>21.8</v>
      </c>
      <c r="D319">
        <v>0</v>
      </c>
      <c r="E319">
        <v>4.5999999999999996</v>
      </c>
      <c r="G319" t="s">
        <v>50</v>
      </c>
      <c r="H319">
        <v>43</v>
      </c>
      <c r="I319" s="4">
        <v>0.50416666666666665</v>
      </c>
      <c r="J319">
        <v>11.8</v>
      </c>
      <c r="K319">
        <v>39</v>
      </c>
      <c r="M319" t="s">
        <v>51</v>
      </c>
      <c r="N319" t="s">
        <v>52</v>
      </c>
      <c r="O319">
        <v>1025.4000000000001</v>
      </c>
      <c r="P319">
        <v>21.2</v>
      </c>
      <c r="Q319">
        <v>22</v>
      </c>
      <c r="S319" t="s">
        <v>57</v>
      </c>
      <c r="T319">
        <v>17</v>
      </c>
      <c r="U319">
        <v>1021.6</v>
      </c>
    </row>
    <row r="320" spans="1:21" x14ac:dyDescent="0.5">
      <c r="A320" s="3">
        <v>43600</v>
      </c>
      <c r="B320">
        <v>5.4</v>
      </c>
      <c r="D320">
        <v>0</v>
      </c>
      <c r="E320">
        <v>4.8</v>
      </c>
      <c r="J320">
        <v>13.7</v>
      </c>
      <c r="K320">
        <v>44</v>
      </c>
      <c r="M320" t="s">
        <v>59</v>
      </c>
      <c r="N320">
        <v>4</v>
      </c>
      <c r="O320">
        <v>1025.3</v>
      </c>
      <c r="P320">
        <v>24.4</v>
      </c>
      <c r="Q320">
        <v>36</v>
      </c>
      <c r="S320" t="s">
        <v>58</v>
      </c>
      <c r="T320">
        <v>20</v>
      </c>
      <c r="U320">
        <v>1020.9</v>
      </c>
    </row>
    <row r="321" spans="1:21" x14ac:dyDescent="0.5">
      <c r="A321" s="3">
        <v>43601</v>
      </c>
      <c r="B321">
        <v>7.5</v>
      </c>
      <c r="C321">
        <v>26.4</v>
      </c>
      <c r="D321">
        <v>0</v>
      </c>
      <c r="E321">
        <v>4</v>
      </c>
      <c r="G321" t="s">
        <v>61</v>
      </c>
      <c r="H321">
        <v>41</v>
      </c>
      <c r="I321" s="4">
        <v>0.4826388888888889</v>
      </c>
      <c r="J321">
        <v>15.2</v>
      </c>
      <c r="K321">
        <v>60</v>
      </c>
      <c r="M321" t="s">
        <v>51</v>
      </c>
      <c r="N321" t="s">
        <v>52</v>
      </c>
      <c r="O321">
        <v>1022.5</v>
      </c>
      <c r="P321">
        <v>25.2</v>
      </c>
      <c r="Q321">
        <v>37</v>
      </c>
      <c r="S321" t="s">
        <v>58</v>
      </c>
      <c r="T321">
        <v>13</v>
      </c>
      <c r="U321">
        <v>1017.6</v>
      </c>
    </row>
    <row r="322" spans="1:21" x14ac:dyDescent="0.5">
      <c r="A322" s="3">
        <v>43602</v>
      </c>
      <c r="B322">
        <v>9.9</v>
      </c>
      <c r="C322">
        <v>31.3</v>
      </c>
      <c r="D322">
        <v>0</v>
      </c>
      <c r="E322">
        <v>7.6</v>
      </c>
      <c r="G322" t="s">
        <v>58</v>
      </c>
      <c r="H322">
        <v>31</v>
      </c>
      <c r="I322" s="4">
        <v>0.87222222222222223</v>
      </c>
      <c r="J322">
        <v>19.100000000000001</v>
      </c>
      <c r="K322">
        <v>58</v>
      </c>
      <c r="M322" t="s">
        <v>58</v>
      </c>
      <c r="N322">
        <v>11</v>
      </c>
      <c r="O322">
        <v>1019.4</v>
      </c>
      <c r="P322">
        <v>30.4</v>
      </c>
      <c r="Q322">
        <v>26</v>
      </c>
      <c r="R322">
        <v>3</v>
      </c>
      <c r="S322" t="s">
        <v>14</v>
      </c>
      <c r="T322">
        <v>9</v>
      </c>
      <c r="U322">
        <v>1014.9</v>
      </c>
    </row>
    <row r="323" spans="1:21" x14ac:dyDescent="0.5">
      <c r="A323" s="3">
        <v>43603</v>
      </c>
      <c r="B323">
        <v>18.399999999999999</v>
      </c>
      <c r="C323">
        <v>20.8</v>
      </c>
      <c r="D323">
        <v>7</v>
      </c>
      <c r="E323">
        <v>5.4</v>
      </c>
      <c r="G323" t="s">
        <v>18</v>
      </c>
      <c r="H323">
        <v>41</v>
      </c>
      <c r="I323" s="4">
        <v>5.8333333333333327E-2</v>
      </c>
      <c r="J323">
        <v>20.5</v>
      </c>
      <c r="K323">
        <v>89</v>
      </c>
      <c r="L323">
        <v>8</v>
      </c>
      <c r="M323" t="s">
        <v>19</v>
      </c>
      <c r="N323">
        <v>4</v>
      </c>
      <c r="O323">
        <v>1019.9</v>
      </c>
      <c r="P323">
        <v>17.7</v>
      </c>
      <c r="Q323">
        <v>99</v>
      </c>
      <c r="R323">
        <v>7</v>
      </c>
      <c r="S323" t="s">
        <v>57</v>
      </c>
      <c r="T323">
        <v>13</v>
      </c>
      <c r="U323">
        <v>1019.3</v>
      </c>
    </row>
    <row r="324" spans="1:21" x14ac:dyDescent="0.5">
      <c r="A324" s="3">
        <v>43604</v>
      </c>
      <c r="B324">
        <v>14.1</v>
      </c>
      <c r="C324">
        <v>27</v>
      </c>
      <c r="D324">
        <v>19.399999999999999</v>
      </c>
      <c r="E324">
        <v>0</v>
      </c>
      <c r="G324" t="s">
        <v>58</v>
      </c>
      <c r="H324">
        <v>17</v>
      </c>
      <c r="I324" s="4">
        <v>0.36527777777777781</v>
      </c>
      <c r="J324">
        <v>17.399999999999999</v>
      </c>
      <c r="K324">
        <v>97</v>
      </c>
      <c r="L324">
        <v>5</v>
      </c>
      <c r="M324" t="s">
        <v>50</v>
      </c>
      <c r="N324">
        <v>11</v>
      </c>
      <c r="O324">
        <v>1022.1</v>
      </c>
      <c r="P324">
        <v>25.8</v>
      </c>
      <c r="Q324">
        <v>62</v>
      </c>
      <c r="S324" t="s">
        <v>54</v>
      </c>
      <c r="T324">
        <v>9</v>
      </c>
      <c r="U324">
        <v>1018.5</v>
      </c>
    </row>
    <row r="325" spans="1:21" x14ac:dyDescent="0.5">
      <c r="A325" s="3">
        <v>43605</v>
      </c>
      <c r="B325">
        <v>14.7</v>
      </c>
      <c r="C325">
        <v>28.5</v>
      </c>
      <c r="D325">
        <v>0.2</v>
      </c>
      <c r="E325">
        <v>2.8</v>
      </c>
      <c r="G325" t="s">
        <v>60</v>
      </c>
      <c r="H325">
        <v>31</v>
      </c>
      <c r="I325" s="4">
        <v>0.50069444444444444</v>
      </c>
      <c r="J325">
        <v>21.2</v>
      </c>
      <c r="K325">
        <v>79</v>
      </c>
      <c r="M325" t="s">
        <v>61</v>
      </c>
      <c r="N325">
        <v>9</v>
      </c>
      <c r="O325">
        <v>1022.1</v>
      </c>
      <c r="P325">
        <v>28.3</v>
      </c>
      <c r="Q325">
        <v>30</v>
      </c>
      <c r="S325" t="s">
        <v>60</v>
      </c>
      <c r="T325">
        <v>19</v>
      </c>
      <c r="U325">
        <v>1019.4</v>
      </c>
    </row>
    <row r="326" spans="1:21" x14ac:dyDescent="0.5">
      <c r="A326" s="3">
        <v>43606</v>
      </c>
      <c r="B326">
        <v>12.9</v>
      </c>
      <c r="C326">
        <v>28.2</v>
      </c>
      <c r="D326">
        <v>0</v>
      </c>
      <c r="G326" t="s">
        <v>58</v>
      </c>
      <c r="H326">
        <v>33</v>
      </c>
      <c r="I326" s="4">
        <v>0.58888888888888891</v>
      </c>
      <c r="J326">
        <v>18.399999999999999</v>
      </c>
      <c r="K326">
        <v>68</v>
      </c>
      <c r="M326" t="s">
        <v>51</v>
      </c>
      <c r="N326" t="s">
        <v>52</v>
      </c>
      <c r="O326">
        <v>1023.1</v>
      </c>
      <c r="P326">
        <v>27.9</v>
      </c>
      <c r="Q326">
        <v>21</v>
      </c>
      <c r="S326" t="s">
        <v>58</v>
      </c>
      <c r="T326">
        <v>20</v>
      </c>
      <c r="U326">
        <v>1020</v>
      </c>
    </row>
    <row r="327" spans="1:21" x14ac:dyDescent="0.5">
      <c r="A327" s="3">
        <v>43607</v>
      </c>
      <c r="B327">
        <v>10.9</v>
      </c>
      <c r="C327">
        <v>27</v>
      </c>
      <c r="D327">
        <v>0</v>
      </c>
      <c r="E327">
        <v>11.2</v>
      </c>
      <c r="G327" t="s">
        <v>58</v>
      </c>
      <c r="H327">
        <v>43</v>
      </c>
      <c r="I327" s="4">
        <v>0.625</v>
      </c>
      <c r="J327">
        <v>17.100000000000001</v>
      </c>
      <c r="K327">
        <v>64</v>
      </c>
      <c r="M327" t="s">
        <v>53</v>
      </c>
      <c r="N327">
        <v>6</v>
      </c>
      <c r="O327">
        <v>1025.5999999999999</v>
      </c>
      <c r="P327">
        <v>26.6</v>
      </c>
      <c r="Q327">
        <v>21</v>
      </c>
      <c r="S327" t="s">
        <v>50</v>
      </c>
      <c r="T327">
        <v>28</v>
      </c>
      <c r="U327">
        <v>1021.9</v>
      </c>
    </row>
    <row r="328" spans="1:21" x14ac:dyDescent="0.5">
      <c r="A328" s="3">
        <v>43608</v>
      </c>
      <c r="B328">
        <v>10.1</v>
      </c>
      <c r="C328">
        <v>25.9</v>
      </c>
      <c r="D328">
        <v>0</v>
      </c>
      <c r="E328">
        <v>6</v>
      </c>
      <c r="G328" t="s">
        <v>61</v>
      </c>
      <c r="H328">
        <v>35</v>
      </c>
      <c r="I328" s="4">
        <v>0.52152777777777781</v>
      </c>
      <c r="J328">
        <v>17.100000000000001</v>
      </c>
      <c r="K328">
        <v>58</v>
      </c>
      <c r="M328" t="s">
        <v>18</v>
      </c>
      <c r="N328">
        <v>7</v>
      </c>
      <c r="O328">
        <v>1025.2</v>
      </c>
      <c r="P328">
        <v>25.1</v>
      </c>
      <c r="Q328">
        <v>27</v>
      </c>
      <c r="S328" t="s">
        <v>58</v>
      </c>
      <c r="T328">
        <v>19</v>
      </c>
      <c r="U328">
        <v>1021.1</v>
      </c>
    </row>
    <row r="329" spans="1:21" x14ac:dyDescent="0.5">
      <c r="A329" s="3">
        <v>43609</v>
      </c>
      <c r="B329">
        <v>11.1</v>
      </c>
      <c r="C329">
        <v>26</v>
      </c>
      <c r="D329">
        <v>0</v>
      </c>
      <c r="G329" t="s">
        <v>58</v>
      </c>
      <c r="H329">
        <v>28</v>
      </c>
      <c r="I329" s="4">
        <v>0.57361111111111118</v>
      </c>
      <c r="J329">
        <v>17.899999999999999</v>
      </c>
      <c r="K329">
        <v>54</v>
      </c>
      <c r="M329" t="s">
        <v>18</v>
      </c>
      <c r="N329">
        <v>4</v>
      </c>
      <c r="O329">
        <v>1022.6</v>
      </c>
      <c r="P329">
        <v>25.9</v>
      </c>
      <c r="Q329">
        <v>25</v>
      </c>
      <c r="S329" t="s">
        <v>50</v>
      </c>
      <c r="T329">
        <v>15</v>
      </c>
      <c r="U329">
        <v>1018.5</v>
      </c>
    </row>
    <row r="330" spans="1:21" x14ac:dyDescent="0.5">
      <c r="A330" s="3">
        <v>43610</v>
      </c>
      <c r="B330">
        <v>10.3</v>
      </c>
      <c r="C330">
        <v>27</v>
      </c>
      <c r="D330">
        <v>0</v>
      </c>
      <c r="G330" t="s">
        <v>50</v>
      </c>
      <c r="H330">
        <v>24</v>
      </c>
      <c r="I330" s="4">
        <v>0.64236111111111105</v>
      </c>
      <c r="J330">
        <v>17.7</v>
      </c>
      <c r="K330">
        <v>55</v>
      </c>
      <c r="M330" t="s">
        <v>18</v>
      </c>
      <c r="N330">
        <v>2</v>
      </c>
      <c r="O330">
        <v>1020.8</v>
      </c>
      <c r="P330">
        <v>26.2</v>
      </c>
      <c r="Q330">
        <v>21</v>
      </c>
      <c r="S330" t="s">
        <v>57</v>
      </c>
      <c r="T330">
        <v>11</v>
      </c>
      <c r="U330">
        <v>1017.3</v>
      </c>
    </row>
    <row r="331" spans="1:21" x14ac:dyDescent="0.5">
      <c r="A331" s="3">
        <v>43611</v>
      </c>
      <c r="B331">
        <v>11.2</v>
      </c>
      <c r="C331">
        <v>23.6</v>
      </c>
      <c r="D331">
        <v>0</v>
      </c>
      <c r="G331" t="s">
        <v>50</v>
      </c>
      <c r="H331">
        <v>31</v>
      </c>
      <c r="I331" s="4">
        <v>0.41875000000000001</v>
      </c>
      <c r="J331">
        <v>16.8</v>
      </c>
      <c r="K331">
        <v>54</v>
      </c>
      <c r="M331" t="s">
        <v>50</v>
      </c>
      <c r="N331">
        <v>17</v>
      </c>
      <c r="O331">
        <v>1022.8</v>
      </c>
      <c r="P331">
        <v>23.3</v>
      </c>
      <c r="Q331">
        <v>31</v>
      </c>
      <c r="S331" t="s">
        <v>56</v>
      </c>
      <c r="T331">
        <v>20</v>
      </c>
      <c r="U331">
        <v>1018.9</v>
      </c>
    </row>
    <row r="332" spans="1:21" x14ac:dyDescent="0.5">
      <c r="A332" s="3">
        <v>43612</v>
      </c>
      <c r="B332">
        <v>7.8</v>
      </c>
      <c r="C332">
        <v>20.9</v>
      </c>
      <c r="D332">
        <v>0</v>
      </c>
      <c r="G332" t="s">
        <v>50</v>
      </c>
      <c r="H332">
        <v>31</v>
      </c>
      <c r="I332" s="4">
        <v>0.4381944444444445</v>
      </c>
      <c r="J332">
        <v>14.3</v>
      </c>
      <c r="K332">
        <v>60</v>
      </c>
      <c r="M332" t="s">
        <v>58</v>
      </c>
      <c r="N332">
        <v>9</v>
      </c>
      <c r="O332">
        <v>1025</v>
      </c>
      <c r="P332">
        <v>19.7</v>
      </c>
      <c r="Q332">
        <v>35</v>
      </c>
      <c r="S332" t="s">
        <v>50</v>
      </c>
      <c r="T332">
        <v>13</v>
      </c>
      <c r="U332">
        <v>1021.3</v>
      </c>
    </row>
    <row r="333" spans="1:21" x14ac:dyDescent="0.5">
      <c r="A333" s="3">
        <v>43613</v>
      </c>
      <c r="B333">
        <v>4.3</v>
      </c>
      <c r="C333">
        <v>20.3</v>
      </c>
      <c r="D333">
        <v>0</v>
      </c>
      <c r="E333">
        <v>4</v>
      </c>
      <c r="G333" t="s">
        <v>50</v>
      </c>
      <c r="H333">
        <v>26</v>
      </c>
      <c r="I333" s="4">
        <v>0.4548611111111111</v>
      </c>
      <c r="J333">
        <v>11.9</v>
      </c>
      <c r="K333">
        <v>60</v>
      </c>
      <c r="M333" t="s">
        <v>51</v>
      </c>
      <c r="N333" t="s">
        <v>52</v>
      </c>
      <c r="O333">
        <v>1024.5999999999999</v>
      </c>
      <c r="P333">
        <v>19.7</v>
      </c>
      <c r="Q333">
        <v>27</v>
      </c>
      <c r="S333" t="s">
        <v>57</v>
      </c>
      <c r="T333">
        <v>19</v>
      </c>
      <c r="U333">
        <v>1019.9</v>
      </c>
    </row>
    <row r="334" spans="1:21" x14ac:dyDescent="0.5">
      <c r="A334" s="3">
        <v>43614</v>
      </c>
      <c r="B334">
        <v>4.0999999999999996</v>
      </c>
      <c r="C334">
        <v>20.9</v>
      </c>
      <c r="D334">
        <v>0</v>
      </c>
      <c r="E334">
        <v>4</v>
      </c>
      <c r="G334" t="s">
        <v>56</v>
      </c>
      <c r="H334">
        <v>31</v>
      </c>
      <c r="I334" s="4">
        <v>0.4777777777777778</v>
      </c>
      <c r="J334">
        <v>11.3</v>
      </c>
      <c r="K334">
        <v>58</v>
      </c>
      <c r="M334" t="s">
        <v>51</v>
      </c>
      <c r="N334" t="s">
        <v>52</v>
      </c>
      <c r="O334">
        <v>1021.8</v>
      </c>
      <c r="P334">
        <v>20.100000000000001</v>
      </c>
      <c r="Q334">
        <v>28</v>
      </c>
      <c r="S334" t="s">
        <v>55</v>
      </c>
      <c r="T334">
        <v>15</v>
      </c>
      <c r="U334">
        <v>1018.4</v>
      </c>
    </row>
    <row r="335" spans="1:21" x14ac:dyDescent="0.5">
      <c r="A335" s="3">
        <v>43615</v>
      </c>
      <c r="B335">
        <v>5.7</v>
      </c>
      <c r="C335">
        <v>18</v>
      </c>
      <c r="D335">
        <v>0</v>
      </c>
      <c r="E335">
        <v>4.8</v>
      </c>
      <c r="G335" t="s">
        <v>50</v>
      </c>
      <c r="H335">
        <v>54</v>
      </c>
      <c r="I335" s="4">
        <v>0.54791666666666672</v>
      </c>
      <c r="J335">
        <v>12.2</v>
      </c>
      <c r="K335">
        <v>66</v>
      </c>
      <c r="L335">
        <v>2</v>
      </c>
      <c r="M335" t="s">
        <v>57</v>
      </c>
      <c r="N335">
        <v>13</v>
      </c>
      <c r="O335">
        <v>1026.0999999999999</v>
      </c>
      <c r="P335">
        <v>16.899999999999999</v>
      </c>
      <c r="Q335">
        <v>35</v>
      </c>
      <c r="S335" t="s">
        <v>57</v>
      </c>
      <c r="T335">
        <v>26</v>
      </c>
      <c r="U335">
        <v>1023.4</v>
      </c>
    </row>
    <row r="336" spans="1:21" x14ac:dyDescent="0.5">
      <c r="A336" s="3">
        <v>43616</v>
      </c>
      <c r="B336">
        <v>2.2000000000000002</v>
      </c>
      <c r="C336">
        <v>14.9</v>
      </c>
      <c r="G336" t="s">
        <v>58</v>
      </c>
      <c r="H336">
        <v>48</v>
      </c>
      <c r="I336" s="4">
        <v>0.42430555555555555</v>
      </c>
      <c r="J336">
        <v>8.5</v>
      </c>
      <c r="K336">
        <v>50</v>
      </c>
      <c r="M336" t="s">
        <v>50</v>
      </c>
      <c r="N336">
        <v>20</v>
      </c>
      <c r="O336">
        <v>1028.9000000000001</v>
      </c>
      <c r="P336">
        <v>14.1</v>
      </c>
      <c r="Q336">
        <v>28</v>
      </c>
      <c r="S336" t="s">
        <v>57</v>
      </c>
      <c r="T336">
        <v>26</v>
      </c>
      <c r="U336">
        <v>1025</v>
      </c>
    </row>
    <row r="337" spans="1:21" x14ac:dyDescent="0.5">
      <c r="A337" s="3">
        <v>43617</v>
      </c>
      <c r="B337">
        <v>-0.3</v>
      </c>
      <c r="C337">
        <v>15.9</v>
      </c>
      <c r="D337">
        <v>0</v>
      </c>
      <c r="G337" t="s">
        <v>50</v>
      </c>
      <c r="H337">
        <v>44</v>
      </c>
      <c r="I337" s="4">
        <v>0.50555555555555554</v>
      </c>
      <c r="J337">
        <v>8.4</v>
      </c>
      <c r="K337">
        <v>50</v>
      </c>
      <c r="M337" t="s">
        <v>50</v>
      </c>
      <c r="N337">
        <v>17</v>
      </c>
      <c r="O337">
        <v>1028.7</v>
      </c>
      <c r="P337">
        <v>15.2</v>
      </c>
      <c r="Q337">
        <v>37</v>
      </c>
      <c r="S337" t="s">
        <v>50</v>
      </c>
      <c r="T337">
        <v>28</v>
      </c>
      <c r="U337">
        <v>1026.3</v>
      </c>
    </row>
    <row r="338" spans="1:21" x14ac:dyDescent="0.5">
      <c r="A338" s="3">
        <v>43618</v>
      </c>
      <c r="B338">
        <v>2.7</v>
      </c>
      <c r="C338">
        <v>17</v>
      </c>
      <c r="D338">
        <v>0</v>
      </c>
      <c r="G338" t="s">
        <v>50</v>
      </c>
      <c r="H338">
        <v>46</v>
      </c>
      <c r="I338" s="4">
        <v>0.57361111111111118</v>
      </c>
      <c r="J338">
        <v>8.9</v>
      </c>
      <c r="K338">
        <v>81</v>
      </c>
      <c r="L338">
        <v>8</v>
      </c>
      <c r="M338" t="s">
        <v>57</v>
      </c>
      <c r="N338">
        <v>13</v>
      </c>
      <c r="O338">
        <v>1030</v>
      </c>
      <c r="P338">
        <v>16.3</v>
      </c>
      <c r="Q338">
        <v>41</v>
      </c>
      <c r="S338" t="s">
        <v>57</v>
      </c>
      <c r="T338">
        <v>24</v>
      </c>
      <c r="U338">
        <v>1026.5</v>
      </c>
    </row>
    <row r="339" spans="1:21" x14ac:dyDescent="0.5">
      <c r="A339" s="3">
        <v>43619</v>
      </c>
      <c r="B339">
        <v>1.5</v>
      </c>
      <c r="C339">
        <v>17.600000000000001</v>
      </c>
      <c r="D339">
        <v>0</v>
      </c>
      <c r="G339" t="s">
        <v>50</v>
      </c>
      <c r="H339">
        <v>44</v>
      </c>
      <c r="I339" s="4">
        <v>0.60902777777777783</v>
      </c>
      <c r="J339">
        <v>8.8000000000000007</v>
      </c>
      <c r="K339">
        <v>70</v>
      </c>
      <c r="M339" t="s">
        <v>57</v>
      </c>
      <c r="N339">
        <v>9</v>
      </c>
      <c r="O339">
        <v>1030.3</v>
      </c>
      <c r="P339">
        <v>16.8</v>
      </c>
      <c r="Q339">
        <v>36</v>
      </c>
      <c r="S339" t="s">
        <v>57</v>
      </c>
      <c r="T339">
        <v>30</v>
      </c>
      <c r="U339">
        <v>1026.3</v>
      </c>
    </row>
    <row r="340" spans="1:21" x14ac:dyDescent="0.5">
      <c r="A340" s="3">
        <v>43620</v>
      </c>
      <c r="B340">
        <v>2.5</v>
      </c>
      <c r="C340">
        <v>15.8</v>
      </c>
      <c r="D340">
        <v>0</v>
      </c>
      <c r="G340" t="s">
        <v>50</v>
      </c>
      <c r="H340">
        <v>43</v>
      </c>
      <c r="I340" s="4">
        <v>0.43541666666666662</v>
      </c>
      <c r="J340">
        <v>8.6</v>
      </c>
      <c r="K340">
        <v>69</v>
      </c>
      <c r="L340">
        <v>7</v>
      </c>
      <c r="M340" t="s">
        <v>57</v>
      </c>
      <c r="N340">
        <v>15</v>
      </c>
      <c r="O340">
        <v>1029.5999999999999</v>
      </c>
      <c r="P340">
        <v>14.4</v>
      </c>
      <c r="Q340">
        <v>38</v>
      </c>
      <c r="S340" t="s">
        <v>50</v>
      </c>
      <c r="T340">
        <v>24</v>
      </c>
      <c r="U340">
        <v>1026.2</v>
      </c>
    </row>
    <row r="341" spans="1:21" x14ac:dyDescent="0.5">
      <c r="A341" s="3">
        <v>43621</v>
      </c>
      <c r="B341">
        <v>0.8</v>
      </c>
      <c r="C341">
        <v>14.6</v>
      </c>
      <c r="D341">
        <v>0</v>
      </c>
      <c r="G341" t="s">
        <v>58</v>
      </c>
      <c r="H341">
        <v>48</v>
      </c>
      <c r="I341" s="4">
        <v>0.61458333333333337</v>
      </c>
      <c r="J341">
        <v>7</v>
      </c>
      <c r="K341">
        <v>62</v>
      </c>
      <c r="M341" t="s">
        <v>50</v>
      </c>
      <c r="N341">
        <v>19</v>
      </c>
      <c r="O341">
        <v>1029.9000000000001</v>
      </c>
      <c r="P341">
        <v>13.7</v>
      </c>
      <c r="Q341">
        <v>33</v>
      </c>
      <c r="S341" t="s">
        <v>50</v>
      </c>
      <c r="T341">
        <v>26</v>
      </c>
      <c r="U341">
        <v>1027.2</v>
      </c>
    </row>
    <row r="342" spans="1:21" x14ac:dyDescent="0.5">
      <c r="A342" s="3">
        <v>43622</v>
      </c>
      <c r="B342">
        <v>0.6</v>
      </c>
      <c r="C342">
        <v>16.100000000000001</v>
      </c>
      <c r="D342">
        <v>0</v>
      </c>
      <c r="G342" t="s">
        <v>58</v>
      </c>
      <c r="H342">
        <v>54</v>
      </c>
      <c r="I342" s="4">
        <v>0.45277777777777778</v>
      </c>
      <c r="J342">
        <v>6.8</v>
      </c>
      <c r="K342">
        <v>63</v>
      </c>
      <c r="M342" t="s">
        <v>58</v>
      </c>
      <c r="N342">
        <v>13</v>
      </c>
      <c r="O342">
        <v>1031.3</v>
      </c>
      <c r="P342">
        <v>15.4</v>
      </c>
      <c r="Q342">
        <v>27</v>
      </c>
      <c r="S342" t="s">
        <v>58</v>
      </c>
      <c r="T342">
        <v>31</v>
      </c>
      <c r="U342">
        <v>1028.5</v>
      </c>
    </row>
    <row r="343" spans="1:21" x14ac:dyDescent="0.5">
      <c r="A343" s="3">
        <v>43623</v>
      </c>
      <c r="B343">
        <v>0.3</v>
      </c>
      <c r="C343">
        <v>17.2</v>
      </c>
      <c r="D343">
        <v>0</v>
      </c>
      <c r="G343" t="s">
        <v>58</v>
      </c>
      <c r="H343">
        <v>35</v>
      </c>
      <c r="I343" s="4">
        <v>0.63402777777777775</v>
      </c>
      <c r="J343">
        <v>6.1</v>
      </c>
      <c r="K343">
        <v>52</v>
      </c>
      <c r="M343" t="s">
        <v>58</v>
      </c>
      <c r="N343">
        <v>7</v>
      </c>
      <c r="O343">
        <v>1028.9000000000001</v>
      </c>
      <c r="P343">
        <v>16.3</v>
      </c>
      <c r="Q343">
        <v>22</v>
      </c>
      <c r="S343" t="s">
        <v>58</v>
      </c>
      <c r="T343">
        <v>22</v>
      </c>
      <c r="U343">
        <v>1024</v>
      </c>
    </row>
    <row r="344" spans="1:21" x14ac:dyDescent="0.5">
      <c r="A344" s="3">
        <v>43624</v>
      </c>
      <c r="B344">
        <v>-0.7</v>
      </c>
      <c r="C344">
        <v>21.3</v>
      </c>
      <c r="D344">
        <v>0</v>
      </c>
      <c r="G344" t="s">
        <v>58</v>
      </c>
      <c r="H344">
        <v>24</v>
      </c>
      <c r="I344" s="4">
        <v>0.61458333333333337</v>
      </c>
      <c r="J344">
        <v>7.6</v>
      </c>
      <c r="K344">
        <v>53</v>
      </c>
      <c r="M344" t="s">
        <v>18</v>
      </c>
      <c r="N344">
        <v>9</v>
      </c>
      <c r="O344">
        <v>1025.7</v>
      </c>
      <c r="P344">
        <v>20.399999999999999</v>
      </c>
      <c r="Q344">
        <v>24</v>
      </c>
      <c r="S344" t="s">
        <v>50</v>
      </c>
      <c r="T344">
        <v>13</v>
      </c>
      <c r="U344">
        <v>1019.8</v>
      </c>
    </row>
    <row r="345" spans="1:21" x14ac:dyDescent="0.5">
      <c r="A345" s="3">
        <v>43625</v>
      </c>
      <c r="B345">
        <v>3.3</v>
      </c>
      <c r="C345">
        <v>26.9</v>
      </c>
      <c r="D345">
        <v>0</v>
      </c>
      <c r="G345" t="s">
        <v>17</v>
      </c>
      <c r="H345">
        <v>46</v>
      </c>
      <c r="I345" s="4">
        <v>0.51041666666666663</v>
      </c>
      <c r="J345">
        <v>14.7</v>
      </c>
      <c r="K345">
        <v>54</v>
      </c>
      <c r="M345" t="s">
        <v>55</v>
      </c>
      <c r="N345">
        <v>9</v>
      </c>
      <c r="O345">
        <v>1018.6</v>
      </c>
      <c r="P345">
        <v>26.3</v>
      </c>
      <c r="Q345">
        <v>31</v>
      </c>
      <c r="S345" t="s">
        <v>17</v>
      </c>
      <c r="T345">
        <v>24</v>
      </c>
      <c r="U345">
        <v>1014.6</v>
      </c>
    </row>
    <row r="346" spans="1:21" x14ac:dyDescent="0.5">
      <c r="A346" s="3">
        <v>43626</v>
      </c>
      <c r="B346">
        <v>10.9</v>
      </c>
      <c r="C346">
        <v>26.3</v>
      </c>
      <c r="D346">
        <v>0</v>
      </c>
      <c r="G346" t="s">
        <v>55</v>
      </c>
      <c r="H346">
        <v>28</v>
      </c>
      <c r="I346" s="4">
        <v>0.33333333333333331</v>
      </c>
      <c r="J346">
        <v>17.8</v>
      </c>
      <c r="K346">
        <v>58</v>
      </c>
      <c r="M346" t="s">
        <v>55</v>
      </c>
      <c r="N346">
        <v>9</v>
      </c>
      <c r="O346">
        <v>1018.9</v>
      </c>
      <c r="P346">
        <v>25.9</v>
      </c>
      <c r="Q346">
        <v>29</v>
      </c>
      <c r="S346" t="s">
        <v>57</v>
      </c>
      <c r="T346">
        <v>13</v>
      </c>
      <c r="U346">
        <v>1015.9</v>
      </c>
    </row>
    <row r="347" spans="1:21" x14ac:dyDescent="0.5">
      <c r="A347" s="3">
        <v>43627</v>
      </c>
      <c r="B347">
        <v>10.6</v>
      </c>
      <c r="C347">
        <v>31</v>
      </c>
      <c r="D347">
        <v>0</v>
      </c>
      <c r="G347" t="s">
        <v>14</v>
      </c>
      <c r="H347">
        <v>44</v>
      </c>
      <c r="I347" s="4">
        <v>0.50069444444444444</v>
      </c>
      <c r="J347">
        <v>23.3</v>
      </c>
      <c r="K347">
        <v>47</v>
      </c>
      <c r="M347" t="s">
        <v>16</v>
      </c>
      <c r="N347">
        <v>22</v>
      </c>
      <c r="O347">
        <v>1019.7</v>
      </c>
      <c r="P347">
        <v>30.2</v>
      </c>
      <c r="Q347">
        <v>29</v>
      </c>
      <c r="S347" t="s">
        <v>15</v>
      </c>
      <c r="T347">
        <v>19</v>
      </c>
      <c r="U347">
        <v>1015.7</v>
      </c>
    </row>
    <row r="348" spans="1:21" x14ac:dyDescent="0.5">
      <c r="A348" s="3">
        <v>43628</v>
      </c>
      <c r="B348">
        <v>21.8</v>
      </c>
      <c r="C348">
        <v>27.1</v>
      </c>
      <c r="D348">
        <v>0</v>
      </c>
      <c r="G348" t="s">
        <v>14</v>
      </c>
      <c r="H348">
        <v>39</v>
      </c>
      <c r="I348" s="4">
        <v>0.33888888888888885</v>
      </c>
      <c r="J348">
        <v>23.1</v>
      </c>
      <c r="K348">
        <v>52</v>
      </c>
      <c r="L348">
        <v>8</v>
      </c>
      <c r="M348" t="s">
        <v>15</v>
      </c>
      <c r="N348">
        <v>26</v>
      </c>
      <c r="O348">
        <v>1018.7</v>
      </c>
      <c r="P348">
        <v>24.1</v>
      </c>
      <c r="Q348">
        <v>40</v>
      </c>
      <c r="R348">
        <v>7</v>
      </c>
      <c r="S348" t="s">
        <v>55</v>
      </c>
      <c r="T348">
        <v>20</v>
      </c>
      <c r="U348">
        <v>1017.5</v>
      </c>
    </row>
    <row r="349" spans="1:21" x14ac:dyDescent="0.5">
      <c r="A349" s="3">
        <v>43629</v>
      </c>
      <c r="B349">
        <v>11.7</v>
      </c>
      <c r="C349">
        <v>22.7</v>
      </c>
      <c r="D349">
        <v>0</v>
      </c>
      <c r="G349" t="s">
        <v>50</v>
      </c>
      <c r="H349">
        <v>35</v>
      </c>
      <c r="I349" s="4">
        <v>0.39097222222222222</v>
      </c>
      <c r="J349">
        <v>15.8</v>
      </c>
      <c r="K349">
        <v>57</v>
      </c>
      <c r="L349">
        <v>1</v>
      </c>
      <c r="M349" t="s">
        <v>50</v>
      </c>
      <c r="N349">
        <v>20</v>
      </c>
      <c r="O349">
        <v>1023</v>
      </c>
      <c r="P349">
        <v>21.9</v>
      </c>
      <c r="Q349">
        <v>35</v>
      </c>
      <c r="R349">
        <v>1</v>
      </c>
      <c r="S349" t="s">
        <v>58</v>
      </c>
      <c r="T349">
        <v>19</v>
      </c>
      <c r="U349">
        <v>1018.8</v>
      </c>
    </row>
    <row r="350" spans="1:21" x14ac:dyDescent="0.5">
      <c r="A350" s="3">
        <v>43630</v>
      </c>
      <c r="B350">
        <v>8.3000000000000007</v>
      </c>
      <c r="C350">
        <v>22.1</v>
      </c>
      <c r="D350">
        <v>0</v>
      </c>
      <c r="G350" t="s">
        <v>58</v>
      </c>
      <c r="H350">
        <v>39</v>
      </c>
      <c r="I350" s="4">
        <v>0.51111111111111118</v>
      </c>
      <c r="J350">
        <v>13.3</v>
      </c>
      <c r="K350">
        <v>50</v>
      </c>
      <c r="L350">
        <v>5</v>
      </c>
      <c r="M350" t="s">
        <v>58</v>
      </c>
      <c r="N350">
        <v>4</v>
      </c>
      <c r="O350">
        <v>1022.8</v>
      </c>
      <c r="P350">
        <v>21.6</v>
      </c>
      <c r="Q350">
        <v>31</v>
      </c>
      <c r="R350">
        <v>7</v>
      </c>
      <c r="S350" t="s">
        <v>58</v>
      </c>
      <c r="T350">
        <v>17</v>
      </c>
      <c r="U350">
        <v>1018.7</v>
      </c>
    </row>
    <row r="351" spans="1:21" x14ac:dyDescent="0.5">
      <c r="A351" s="3">
        <v>43631</v>
      </c>
      <c r="B351">
        <v>11</v>
      </c>
      <c r="C351">
        <v>23.6</v>
      </c>
      <c r="D351">
        <v>0</v>
      </c>
      <c r="G351" t="s">
        <v>61</v>
      </c>
      <c r="H351">
        <v>33</v>
      </c>
      <c r="I351" s="4">
        <v>0.47222222222222227</v>
      </c>
      <c r="J351">
        <v>14.7</v>
      </c>
      <c r="K351">
        <v>40</v>
      </c>
      <c r="M351" t="s">
        <v>58</v>
      </c>
      <c r="N351">
        <v>22</v>
      </c>
      <c r="O351">
        <v>1021.4</v>
      </c>
      <c r="P351">
        <v>22.4</v>
      </c>
      <c r="Q351">
        <v>28</v>
      </c>
      <c r="R351">
        <v>6</v>
      </c>
      <c r="S351" t="s">
        <v>57</v>
      </c>
      <c r="T351">
        <v>13</v>
      </c>
      <c r="U351">
        <v>1016.7</v>
      </c>
    </row>
    <row r="352" spans="1:21" x14ac:dyDescent="0.5">
      <c r="A352" s="3">
        <v>43632</v>
      </c>
      <c r="B352">
        <v>6.6</v>
      </c>
      <c r="C352">
        <v>21.1</v>
      </c>
      <c r="D352">
        <v>0.4</v>
      </c>
      <c r="G352" t="s">
        <v>58</v>
      </c>
      <c r="H352">
        <v>31</v>
      </c>
      <c r="I352" s="4">
        <v>0.5083333333333333</v>
      </c>
      <c r="J352">
        <v>10.8</v>
      </c>
      <c r="K352">
        <v>89</v>
      </c>
      <c r="M352" t="s">
        <v>54</v>
      </c>
      <c r="N352">
        <v>6</v>
      </c>
      <c r="O352">
        <v>1024.0999999999999</v>
      </c>
      <c r="P352">
        <v>20.9</v>
      </c>
      <c r="Q352">
        <v>32</v>
      </c>
      <c r="S352" t="s">
        <v>57</v>
      </c>
      <c r="T352">
        <v>19</v>
      </c>
      <c r="U352">
        <v>1020.8</v>
      </c>
    </row>
    <row r="353" spans="1:21" x14ac:dyDescent="0.5">
      <c r="A353" s="3">
        <v>43633</v>
      </c>
      <c r="B353">
        <v>3.9</v>
      </c>
      <c r="C353">
        <v>20.9</v>
      </c>
      <c r="D353">
        <v>0.2</v>
      </c>
      <c r="G353" t="s">
        <v>61</v>
      </c>
      <c r="H353">
        <v>31</v>
      </c>
      <c r="I353" s="4">
        <v>0.47500000000000003</v>
      </c>
      <c r="J353">
        <v>10.9</v>
      </c>
      <c r="K353">
        <v>61</v>
      </c>
      <c r="M353" t="s">
        <v>58</v>
      </c>
      <c r="N353">
        <v>9</v>
      </c>
      <c r="O353">
        <v>1024.9000000000001</v>
      </c>
      <c r="P353">
        <v>20.2</v>
      </c>
      <c r="Q353">
        <v>28</v>
      </c>
      <c r="S353" t="s">
        <v>58</v>
      </c>
      <c r="T353">
        <v>15</v>
      </c>
      <c r="U353">
        <v>1021</v>
      </c>
    </row>
    <row r="354" spans="1:21" x14ac:dyDescent="0.5">
      <c r="A354" s="3">
        <v>43634</v>
      </c>
      <c r="B354">
        <v>2.8</v>
      </c>
      <c r="C354">
        <v>18.7</v>
      </c>
      <c r="D354">
        <v>0</v>
      </c>
      <c r="G354" t="s">
        <v>57</v>
      </c>
      <c r="H354">
        <v>37</v>
      </c>
      <c r="I354" s="4">
        <v>0.625</v>
      </c>
      <c r="J354">
        <v>10.7</v>
      </c>
      <c r="K354">
        <v>52</v>
      </c>
      <c r="M354" t="s">
        <v>51</v>
      </c>
      <c r="N354" t="s">
        <v>52</v>
      </c>
      <c r="O354">
        <v>1026.5</v>
      </c>
      <c r="P354">
        <v>17.5</v>
      </c>
      <c r="Q354">
        <v>31</v>
      </c>
      <c r="S354" t="s">
        <v>57</v>
      </c>
      <c r="T354">
        <v>20</v>
      </c>
      <c r="U354">
        <v>1022.4</v>
      </c>
    </row>
    <row r="355" spans="1:21" x14ac:dyDescent="0.5">
      <c r="A355" s="3">
        <v>43635</v>
      </c>
      <c r="B355">
        <v>3.1</v>
      </c>
      <c r="C355">
        <v>16.899999999999999</v>
      </c>
      <c r="D355">
        <v>0</v>
      </c>
      <c r="G355" t="s">
        <v>58</v>
      </c>
      <c r="H355">
        <v>33</v>
      </c>
      <c r="I355" s="4">
        <v>0.43472222222222223</v>
      </c>
      <c r="J355">
        <v>9.6</v>
      </c>
      <c r="K355">
        <v>58</v>
      </c>
      <c r="M355" t="s">
        <v>51</v>
      </c>
      <c r="N355" t="s">
        <v>52</v>
      </c>
      <c r="O355">
        <v>1025.5</v>
      </c>
      <c r="P355">
        <v>15.7</v>
      </c>
      <c r="Q355">
        <v>33</v>
      </c>
      <c r="S355" t="s">
        <v>58</v>
      </c>
      <c r="T355">
        <v>19</v>
      </c>
      <c r="U355">
        <v>1022</v>
      </c>
    </row>
    <row r="356" spans="1:21" x14ac:dyDescent="0.5">
      <c r="A356" s="3">
        <v>43636</v>
      </c>
      <c r="B356">
        <v>-0.1</v>
      </c>
      <c r="C356">
        <v>16.100000000000001</v>
      </c>
      <c r="D356">
        <v>0</v>
      </c>
      <c r="G356" t="s">
        <v>58</v>
      </c>
      <c r="H356">
        <v>30</v>
      </c>
      <c r="I356" s="4">
        <v>0.45902777777777781</v>
      </c>
      <c r="J356">
        <v>7.9</v>
      </c>
      <c r="K356">
        <v>57</v>
      </c>
      <c r="M356" t="s">
        <v>58</v>
      </c>
      <c r="N356">
        <v>6</v>
      </c>
      <c r="O356">
        <v>1026.9000000000001</v>
      </c>
      <c r="P356">
        <v>15.7</v>
      </c>
      <c r="Q356">
        <v>31</v>
      </c>
      <c r="S356" t="s">
        <v>58</v>
      </c>
      <c r="T356">
        <v>17</v>
      </c>
      <c r="U356">
        <v>1023</v>
      </c>
    </row>
    <row r="357" spans="1:21" x14ac:dyDescent="0.5">
      <c r="A357" s="3">
        <v>43637</v>
      </c>
      <c r="B357">
        <v>-1.2</v>
      </c>
      <c r="C357">
        <v>15.8</v>
      </c>
      <c r="D357">
        <v>0</v>
      </c>
      <c r="G357" t="s">
        <v>61</v>
      </c>
      <c r="H357">
        <v>39</v>
      </c>
      <c r="I357" s="4">
        <v>0.42569444444444443</v>
      </c>
      <c r="J357">
        <v>7.8</v>
      </c>
      <c r="K357">
        <v>51</v>
      </c>
      <c r="M357" t="s">
        <v>61</v>
      </c>
      <c r="N357">
        <v>9</v>
      </c>
      <c r="O357">
        <v>1027.2</v>
      </c>
      <c r="P357">
        <v>15.5</v>
      </c>
      <c r="Q357">
        <v>22</v>
      </c>
      <c r="S357" t="s">
        <v>61</v>
      </c>
      <c r="T357">
        <v>17</v>
      </c>
      <c r="U357">
        <v>1023.7</v>
      </c>
    </row>
    <row r="358" spans="1:21" x14ac:dyDescent="0.5">
      <c r="A358" s="3">
        <v>43638</v>
      </c>
      <c r="B358">
        <v>-3.2</v>
      </c>
      <c r="C358">
        <v>16.399999999999999</v>
      </c>
      <c r="D358">
        <v>0</v>
      </c>
      <c r="G358" t="s">
        <v>58</v>
      </c>
      <c r="H358">
        <v>37</v>
      </c>
      <c r="I358" s="4">
        <v>0.42777777777777781</v>
      </c>
      <c r="J358">
        <v>7</v>
      </c>
      <c r="K358">
        <v>45</v>
      </c>
      <c r="M358" t="s">
        <v>58</v>
      </c>
      <c r="N358">
        <v>17</v>
      </c>
      <c r="O358">
        <v>1026</v>
      </c>
      <c r="P358">
        <v>15.1</v>
      </c>
      <c r="Q358">
        <v>20</v>
      </c>
      <c r="S358" t="s">
        <v>58</v>
      </c>
      <c r="T358">
        <v>17</v>
      </c>
      <c r="U358">
        <v>1022.5</v>
      </c>
    </row>
    <row r="359" spans="1:21" x14ac:dyDescent="0.5">
      <c r="A359" s="3">
        <v>43639</v>
      </c>
      <c r="B359">
        <v>-1.7</v>
      </c>
      <c r="C359">
        <v>16.7</v>
      </c>
      <c r="D359">
        <v>0</v>
      </c>
      <c r="G359" t="s">
        <v>61</v>
      </c>
      <c r="H359">
        <v>31</v>
      </c>
      <c r="I359" s="4">
        <v>0.44444444444444442</v>
      </c>
      <c r="J359">
        <v>6</v>
      </c>
      <c r="K359">
        <v>43</v>
      </c>
      <c r="M359" t="s">
        <v>58</v>
      </c>
      <c r="N359">
        <v>6</v>
      </c>
      <c r="O359">
        <v>1025.7</v>
      </c>
      <c r="P359">
        <v>15.8</v>
      </c>
      <c r="Q359">
        <v>22</v>
      </c>
      <c r="S359" t="s">
        <v>58</v>
      </c>
      <c r="T359">
        <v>17</v>
      </c>
      <c r="U359">
        <v>1022.8</v>
      </c>
    </row>
    <row r="360" spans="1:21" x14ac:dyDescent="0.5">
      <c r="A360" s="3">
        <v>43640</v>
      </c>
      <c r="B360">
        <v>-1</v>
      </c>
      <c r="C360">
        <v>17.600000000000001</v>
      </c>
      <c r="D360">
        <v>0</v>
      </c>
      <c r="G360" t="s">
        <v>58</v>
      </c>
      <c r="H360">
        <v>33</v>
      </c>
      <c r="I360" s="4">
        <v>0.37847222222222227</v>
      </c>
      <c r="J360">
        <v>8.4</v>
      </c>
      <c r="K360">
        <v>40</v>
      </c>
      <c r="M360" t="s">
        <v>61</v>
      </c>
      <c r="N360">
        <v>22</v>
      </c>
      <c r="O360">
        <v>1025.5999999999999</v>
      </c>
      <c r="P360">
        <v>16.600000000000001</v>
      </c>
      <c r="Q360">
        <v>19</v>
      </c>
      <c r="S360" t="s">
        <v>58</v>
      </c>
      <c r="T360">
        <v>15</v>
      </c>
      <c r="U360">
        <v>1023.4</v>
      </c>
    </row>
    <row r="361" spans="1:21" x14ac:dyDescent="0.5">
      <c r="A361" s="3">
        <v>43641</v>
      </c>
      <c r="B361">
        <v>1.4</v>
      </c>
      <c r="C361">
        <v>20.3</v>
      </c>
      <c r="D361">
        <v>0</v>
      </c>
      <c r="G361" t="s">
        <v>50</v>
      </c>
      <c r="H361">
        <v>31</v>
      </c>
      <c r="I361" s="4">
        <v>0.6166666666666667</v>
      </c>
      <c r="J361">
        <v>7.7</v>
      </c>
      <c r="K361">
        <v>37</v>
      </c>
      <c r="M361" t="s">
        <v>51</v>
      </c>
      <c r="N361" t="s">
        <v>52</v>
      </c>
      <c r="O361">
        <v>1026.9000000000001</v>
      </c>
      <c r="P361">
        <v>19.7</v>
      </c>
      <c r="Q361">
        <v>13</v>
      </c>
      <c r="S361" t="s">
        <v>57</v>
      </c>
      <c r="T361">
        <v>20</v>
      </c>
      <c r="U361">
        <v>1024.5</v>
      </c>
    </row>
    <row r="362" spans="1:21" x14ac:dyDescent="0.5">
      <c r="A362" s="3">
        <v>43642</v>
      </c>
      <c r="B362">
        <v>0.4</v>
      </c>
      <c r="C362">
        <v>19.8</v>
      </c>
      <c r="D362">
        <v>0</v>
      </c>
      <c r="G362" t="s">
        <v>58</v>
      </c>
      <c r="H362">
        <v>35</v>
      </c>
      <c r="I362" s="4">
        <v>0.46249999999999997</v>
      </c>
      <c r="J362">
        <v>8.1</v>
      </c>
      <c r="K362">
        <v>35</v>
      </c>
      <c r="M362" t="s">
        <v>51</v>
      </c>
      <c r="N362" t="s">
        <v>52</v>
      </c>
      <c r="O362">
        <v>1027.0999999999999</v>
      </c>
      <c r="P362">
        <v>19</v>
      </c>
      <c r="Q362">
        <v>20</v>
      </c>
      <c r="S362" t="s">
        <v>50</v>
      </c>
      <c r="T362">
        <v>19</v>
      </c>
      <c r="U362">
        <v>1022.6</v>
      </c>
    </row>
    <row r="363" spans="1:21" x14ac:dyDescent="0.5">
      <c r="A363" s="3">
        <v>43643</v>
      </c>
      <c r="B363">
        <v>1.4</v>
      </c>
      <c r="C363">
        <v>21.7</v>
      </c>
      <c r="D363">
        <v>0</v>
      </c>
      <c r="G363" t="s">
        <v>58</v>
      </c>
      <c r="H363">
        <v>20</v>
      </c>
      <c r="I363" s="4">
        <v>0.48819444444444443</v>
      </c>
      <c r="J363">
        <v>9</v>
      </c>
      <c r="K363">
        <v>40</v>
      </c>
      <c r="M363" t="s">
        <v>51</v>
      </c>
      <c r="N363" t="s">
        <v>52</v>
      </c>
      <c r="O363">
        <v>1024.8</v>
      </c>
      <c r="P363">
        <v>21.1</v>
      </c>
      <c r="Q363">
        <v>23</v>
      </c>
      <c r="S363" t="s">
        <v>53</v>
      </c>
      <c r="T363">
        <v>7</v>
      </c>
      <c r="U363">
        <v>1019.6</v>
      </c>
    </row>
    <row r="364" spans="1:21" x14ac:dyDescent="0.5">
      <c r="A364" s="3">
        <v>43644</v>
      </c>
      <c r="B364">
        <v>3.1</v>
      </c>
      <c r="C364">
        <v>24.3</v>
      </c>
      <c r="D364">
        <v>0</v>
      </c>
      <c r="G364" t="s">
        <v>19</v>
      </c>
      <c r="H364">
        <v>28</v>
      </c>
      <c r="I364" s="4">
        <v>0.62638888888888888</v>
      </c>
      <c r="J364">
        <v>10.8</v>
      </c>
      <c r="K364">
        <v>47</v>
      </c>
      <c r="M364" t="s">
        <v>51</v>
      </c>
      <c r="N364" t="s">
        <v>52</v>
      </c>
      <c r="O364">
        <v>1021.7</v>
      </c>
      <c r="P364">
        <v>23.7</v>
      </c>
      <c r="Q364">
        <v>18</v>
      </c>
      <c r="S364" t="s">
        <v>19</v>
      </c>
      <c r="T364">
        <v>13</v>
      </c>
      <c r="U364">
        <v>1017.4</v>
      </c>
    </row>
    <row r="365" spans="1:21" x14ac:dyDescent="0.5">
      <c r="A365" s="3">
        <v>43645</v>
      </c>
      <c r="B365">
        <v>6.7</v>
      </c>
      <c r="C365">
        <v>20.2</v>
      </c>
      <c r="D365">
        <v>0</v>
      </c>
      <c r="G365" t="s">
        <v>56</v>
      </c>
      <c r="H365">
        <v>33</v>
      </c>
      <c r="I365" s="4">
        <v>0.68819444444444444</v>
      </c>
      <c r="J365">
        <v>13</v>
      </c>
      <c r="K365">
        <v>55</v>
      </c>
      <c r="M365" t="s">
        <v>54</v>
      </c>
      <c r="N365">
        <v>11</v>
      </c>
      <c r="O365">
        <v>1024.9000000000001</v>
      </c>
      <c r="P365">
        <v>18.899999999999999</v>
      </c>
      <c r="Q365">
        <v>35</v>
      </c>
      <c r="S365" t="s">
        <v>57</v>
      </c>
      <c r="T365">
        <v>19</v>
      </c>
      <c r="U365">
        <v>1022.2</v>
      </c>
    </row>
    <row r="366" spans="1:21" x14ac:dyDescent="0.5">
      <c r="A366" s="3">
        <v>43646</v>
      </c>
      <c r="B366">
        <v>0.5</v>
      </c>
      <c r="C366">
        <v>19.100000000000001</v>
      </c>
      <c r="D366">
        <v>0</v>
      </c>
      <c r="G366" t="s">
        <v>58</v>
      </c>
      <c r="H366">
        <v>37</v>
      </c>
      <c r="I366" s="4">
        <v>0.41944444444444445</v>
      </c>
      <c r="J366">
        <v>8.4</v>
      </c>
      <c r="K366">
        <v>47</v>
      </c>
      <c r="M366" t="s">
        <v>57</v>
      </c>
      <c r="N366">
        <v>4</v>
      </c>
      <c r="O366">
        <v>1026.7</v>
      </c>
      <c r="P366">
        <v>18.3</v>
      </c>
      <c r="Q366">
        <v>20</v>
      </c>
      <c r="S366" t="s">
        <v>58</v>
      </c>
      <c r="T366">
        <v>15</v>
      </c>
      <c r="U366">
        <v>1021.9</v>
      </c>
    </row>
  </sheetData>
  <pageMargins left="0.75" right="0.75" top="1" bottom="1" header="0.5" footer="0.5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D4736-8665-462F-BCC7-B4146ABFBC8A}">
  <sheetPr codeName="Sheet3"/>
  <dimension ref="A1:B3"/>
  <sheetViews>
    <sheetView workbookViewId="0">
      <selection activeCell="A3" sqref="A1:A3"/>
    </sheetView>
  </sheetViews>
  <sheetFormatPr defaultRowHeight="15.75" x14ac:dyDescent="0.5"/>
  <sheetData>
    <row r="1" spans="1:2" x14ac:dyDescent="0.5">
      <c r="A1" t="s">
        <v>20</v>
      </c>
    </row>
    <row r="3" spans="1:2" ht="18" x14ac:dyDescent="0.65">
      <c r="A3" t="s">
        <v>21</v>
      </c>
      <c r="B3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7BFB4-8C97-480A-BEB5-06FDE06F65DB}">
  <sheetPr codeName="Sheet5"/>
  <dimension ref="A1:D6"/>
  <sheetViews>
    <sheetView workbookViewId="0">
      <selection activeCell="A5" sqref="A5:A6"/>
    </sheetView>
  </sheetViews>
  <sheetFormatPr defaultRowHeight="15.75" x14ac:dyDescent="0.5"/>
  <cols>
    <col min="1" max="1" width="18.3125" bestFit="1" customWidth="1"/>
  </cols>
  <sheetData>
    <row r="1" spans="1:4" x14ac:dyDescent="0.5">
      <c r="A1" t="s">
        <v>22</v>
      </c>
    </row>
    <row r="3" spans="1:4" x14ac:dyDescent="0.5">
      <c r="A3" t="s">
        <v>23</v>
      </c>
    </row>
    <row r="4" spans="1:4" x14ac:dyDescent="0.5">
      <c r="C4" t="s">
        <v>24</v>
      </c>
      <c r="D4" t="s">
        <v>25</v>
      </c>
    </row>
    <row r="5" spans="1:4" x14ac:dyDescent="0.5">
      <c r="A5" s="5" t="s">
        <v>66</v>
      </c>
      <c r="B5" s="5">
        <f>MAX( ((T_max+T_min)/2)-T_base, 0 )</f>
        <v>4.25</v>
      </c>
      <c r="C5">
        <v>1.3</v>
      </c>
      <c r="D5">
        <v>27.2</v>
      </c>
    </row>
    <row r="6" spans="1:4" x14ac:dyDescent="0.5">
      <c r="A6" s="6" t="s">
        <v>67</v>
      </c>
      <c r="B6" s="6">
        <f>IF(T_min &lt; T_base, ((T_max+T_base)/2)-T_base, ((T_max+T_min)/2)-T_base)</f>
        <v>4.25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E4D3D-6B82-4C72-B1BE-12FB33EAE6CC}">
  <sheetPr codeName="Sheet6"/>
  <dimension ref="A1:G366"/>
  <sheetViews>
    <sheetView tabSelected="1" zoomScaleNormal="100" workbookViewId="0">
      <selection activeCell="F10" sqref="F10"/>
    </sheetView>
  </sheetViews>
  <sheetFormatPr defaultRowHeight="15.75" x14ac:dyDescent="0.5"/>
  <cols>
    <col min="1" max="1" width="10.1875" bestFit="1" customWidth="1"/>
    <col min="3" max="3" width="9.3125" bestFit="1" customWidth="1"/>
    <col min="4" max="4" width="19.375" style="5" bestFit="1" customWidth="1"/>
    <col min="5" max="5" width="31.875" style="5" bestFit="1" customWidth="1"/>
    <col min="6" max="6" width="19.375" style="6" bestFit="1" customWidth="1"/>
    <col min="7" max="7" width="31.875" style="6" bestFit="1" customWidth="1"/>
  </cols>
  <sheetData>
    <row r="1" spans="1:7" x14ac:dyDescent="0.5">
      <c r="A1" t="s">
        <v>26</v>
      </c>
      <c r="B1" t="s">
        <v>27</v>
      </c>
      <c r="C1" t="s">
        <v>28</v>
      </c>
      <c r="D1" s="5" t="s">
        <v>62</v>
      </c>
      <c r="E1" s="5" t="s">
        <v>63</v>
      </c>
      <c r="F1" s="6" t="s">
        <v>64</v>
      </c>
      <c r="G1" s="6" t="s">
        <v>65</v>
      </c>
    </row>
    <row r="2" spans="1:7" x14ac:dyDescent="0.5">
      <c r="A2" s="3">
        <v>43282</v>
      </c>
      <c r="B2">
        <v>-0.4</v>
      </c>
      <c r="C2">
        <v>18.100000000000001</v>
      </c>
      <c r="D2" s="5">
        <f>DegreeDay(Equation_1,B2,C2)</f>
        <v>0</v>
      </c>
      <c r="E2" s="5">
        <f t="array" ref="E2:E366">DegreeDayDynamicArray(Equation_2,B2:B366,C2:C366)</f>
        <v>4.25</v>
      </c>
      <c r="F2" s="6">
        <f>DegreeDay(Equation_2, B2, C2)</f>
        <v>4.0500000000000007</v>
      </c>
    </row>
    <row r="3" spans="1:7" x14ac:dyDescent="0.5">
      <c r="A3" s="3">
        <v>43283</v>
      </c>
      <c r="B3">
        <v>-2.6</v>
      </c>
      <c r="C3">
        <v>21.2</v>
      </c>
      <c r="D3" s="5">
        <f>DegreeDay(Equation_1,B3,C3)</f>
        <v>0</v>
      </c>
      <c r="E3" s="5">
        <v>5.6</v>
      </c>
      <c r="F3" s="6">
        <f>DegreeDay(Equation_2, B3, C3)</f>
        <v>5.6</v>
      </c>
    </row>
    <row r="4" spans="1:7" x14ac:dyDescent="0.5">
      <c r="A4" s="3">
        <v>43284</v>
      </c>
      <c r="B4">
        <v>-1.4</v>
      </c>
      <c r="C4">
        <v>25.1</v>
      </c>
      <c r="D4" s="5">
        <f>DegreeDay(Equation_1,B4,C4)</f>
        <v>1.8500000000000014</v>
      </c>
      <c r="E4" s="5">
        <v>7.5500000000000007</v>
      </c>
      <c r="F4" s="6">
        <f>DegreeDay(Equation_2, B4, C4)</f>
        <v>7.5500000000000007</v>
      </c>
    </row>
    <row r="5" spans="1:7" x14ac:dyDescent="0.5">
      <c r="A5" s="3">
        <v>43285</v>
      </c>
      <c r="B5">
        <v>1.3</v>
      </c>
      <c r="C5">
        <v>27.2</v>
      </c>
      <c r="D5" s="5">
        <f>DegreeDay(Equation_1,B5,C5)</f>
        <v>4.25</v>
      </c>
      <c r="E5" s="5">
        <v>8.6000000000000014</v>
      </c>
      <c r="F5" s="6">
        <f>DegreeDay(Equation_2, B5, C5)</f>
        <v>8.6000000000000014</v>
      </c>
    </row>
    <row r="6" spans="1:7" x14ac:dyDescent="0.5">
      <c r="A6" s="3">
        <v>43286</v>
      </c>
      <c r="B6">
        <v>4.7</v>
      </c>
      <c r="C6">
        <v>28.1</v>
      </c>
      <c r="D6" s="5">
        <f>DegreeDay(Equation_1,B6,C6)</f>
        <v>6.4000000000000021</v>
      </c>
      <c r="E6" s="5">
        <v>9.0500000000000007</v>
      </c>
      <c r="F6" s="6">
        <f>DegreeDay(Equation_2, B6, C6)</f>
        <v>9.0500000000000007</v>
      </c>
    </row>
    <row r="7" spans="1:7" x14ac:dyDescent="0.5">
      <c r="A7" s="3">
        <v>43287</v>
      </c>
      <c r="B7">
        <v>8.1</v>
      </c>
      <c r="C7">
        <v>19.100000000000001</v>
      </c>
      <c r="D7" s="5">
        <f>DegreeDay(Equation_1,B7,C7)</f>
        <v>3.6000000000000014</v>
      </c>
      <c r="E7" s="5">
        <v>4.5500000000000007</v>
      </c>
      <c r="F7" s="6">
        <f>DegreeDay(Equation_2, B7, C7)</f>
        <v>4.5500000000000007</v>
      </c>
    </row>
    <row r="8" spans="1:7" x14ac:dyDescent="0.5">
      <c r="A8" s="3">
        <v>43288</v>
      </c>
      <c r="B8">
        <v>0.3</v>
      </c>
      <c r="C8">
        <v>17.399999999999999</v>
      </c>
      <c r="E8" s="5">
        <v>3.6999999999999993</v>
      </c>
    </row>
    <row r="9" spans="1:7" x14ac:dyDescent="0.5">
      <c r="A9" s="3">
        <v>43289</v>
      </c>
      <c r="B9">
        <v>2</v>
      </c>
      <c r="C9">
        <v>17.7</v>
      </c>
      <c r="E9" s="5">
        <v>3.8499999999999996</v>
      </c>
    </row>
    <row r="10" spans="1:7" x14ac:dyDescent="0.5">
      <c r="A10" s="3">
        <v>43290</v>
      </c>
      <c r="B10">
        <v>-1.1000000000000001</v>
      </c>
      <c r="C10">
        <v>17.8</v>
      </c>
      <c r="E10" s="5">
        <v>3.9000000000000004</v>
      </c>
    </row>
    <row r="11" spans="1:7" x14ac:dyDescent="0.5">
      <c r="A11" s="3">
        <v>43291</v>
      </c>
      <c r="B11">
        <v>-2</v>
      </c>
      <c r="C11">
        <v>18.3</v>
      </c>
      <c r="E11" s="5">
        <v>4.1500000000000004</v>
      </c>
    </row>
    <row r="12" spans="1:7" x14ac:dyDescent="0.5">
      <c r="A12" s="3">
        <v>43292</v>
      </c>
      <c r="B12">
        <v>-1.9</v>
      </c>
      <c r="C12">
        <v>18.3</v>
      </c>
      <c r="E12" s="5">
        <v>4.1500000000000004</v>
      </c>
    </row>
    <row r="13" spans="1:7" x14ac:dyDescent="0.5">
      <c r="A13" s="3">
        <v>43293</v>
      </c>
      <c r="B13">
        <v>-3.4</v>
      </c>
      <c r="C13">
        <v>18</v>
      </c>
      <c r="E13" s="5">
        <v>4</v>
      </c>
    </row>
    <row r="14" spans="1:7" x14ac:dyDescent="0.5">
      <c r="A14" s="3">
        <v>43294</v>
      </c>
      <c r="B14">
        <v>-3.8</v>
      </c>
      <c r="C14">
        <v>20</v>
      </c>
      <c r="E14" s="5">
        <v>5</v>
      </c>
    </row>
    <row r="15" spans="1:7" x14ac:dyDescent="0.5">
      <c r="A15" s="3">
        <v>43295</v>
      </c>
      <c r="B15">
        <v>-3.5</v>
      </c>
      <c r="C15">
        <v>21</v>
      </c>
      <c r="E15" s="5">
        <v>5.5</v>
      </c>
    </row>
    <row r="16" spans="1:7" x14ac:dyDescent="0.5">
      <c r="A16" s="3">
        <v>43296</v>
      </c>
      <c r="B16">
        <v>-2.2000000000000002</v>
      </c>
      <c r="C16">
        <v>22.6</v>
      </c>
      <c r="E16" s="5">
        <v>6.3000000000000007</v>
      </c>
    </row>
    <row r="17" spans="1:5" x14ac:dyDescent="0.5">
      <c r="A17" s="3">
        <v>43297</v>
      </c>
      <c r="B17">
        <v>1.3</v>
      </c>
      <c r="C17">
        <v>24.2</v>
      </c>
      <c r="E17" s="5">
        <v>7.1000000000000014</v>
      </c>
    </row>
    <row r="18" spans="1:5" x14ac:dyDescent="0.5">
      <c r="A18" s="3">
        <v>43298</v>
      </c>
      <c r="B18">
        <v>1.7</v>
      </c>
      <c r="C18">
        <v>25.8</v>
      </c>
      <c r="E18" s="5">
        <v>7.8999999999999986</v>
      </c>
    </row>
    <row r="19" spans="1:5" x14ac:dyDescent="0.5">
      <c r="A19" s="3">
        <v>43299</v>
      </c>
      <c r="B19">
        <v>1.7</v>
      </c>
      <c r="C19">
        <v>26.2</v>
      </c>
      <c r="E19" s="5">
        <v>8.1000000000000014</v>
      </c>
    </row>
    <row r="20" spans="1:5" x14ac:dyDescent="0.5">
      <c r="A20" s="3">
        <v>43300</v>
      </c>
      <c r="B20">
        <v>3</v>
      </c>
      <c r="C20">
        <v>26.5</v>
      </c>
      <c r="E20" s="5">
        <v>8.25</v>
      </c>
    </row>
    <row r="21" spans="1:5" x14ac:dyDescent="0.5">
      <c r="A21" s="3">
        <v>43301</v>
      </c>
      <c r="B21">
        <v>4.7</v>
      </c>
      <c r="C21">
        <v>18.899999999999999</v>
      </c>
      <c r="E21" s="5">
        <v>4.4499999999999993</v>
      </c>
    </row>
    <row r="22" spans="1:5" x14ac:dyDescent="0.5">
      <c r="A22" s="3">
        <v>43302</v>
      </c>
      <c r="B22">
        <v>-0.1</v>
      </c>
      <c r="C22">
        <v>25.5</v>
      </c>
      <c r="E22" s="5">
        <v>7.75</v>
      </c>
    </row>
    <row r="23" spans="1:5" x14ac:dyDescent="0.5">
      <c r="A23" s="3">
        <v>43303</v>
      </c>
      <c r="B23">
        <v>5.7</v>
      </c>
      <c r="C23">
        <v>27.1</v>
      </c>
      <c r="E23" s="5">
        <v>8.5500000000000007</v>
      </c>
    </row>
    <row r="24" spans="1:5" x14ac:dyDescent="0.5">
      <c r="A24" s="3">
        <v>43304</v>
      </c>
      <c r="B24">
        <v>13</v>
      </c>
      <c r="C24">
        <v>29.1</v>
      </c>
      <c r="E24" s="5">
        <v>11.05</v>
      </c>
    </row>
    <row r="25" spans="1:5" x14ac:dyDescent="0.5">
      <c r="A25" s="3">
        <v>43305</v>
      </c>
      <c r="B25">
        <v>10.1</v>
      </c>
      <c r="C25">
        <v>26.8</v>
      </c>
      <c r="E25" s="5">
        <v>8.4499999999999993</v>
      </c>
    </row>
    <row r="26" spans="1:5" x14ac:dyDescent="0.5">
      <c r="A26" s="3">
        <v>43306</v>
      </c>
      <c r="B26">
        <v>8.1</v>
      </c>
      <c r="C26">
        <v>27.3</v>
      </c>
      <c r="E26" s="5">
        <v>8.6499999999999986</v>
      </c>
    </row>
    <row r="27" spans="1:5" x14ac:dyDescent="0.5">
      <c r="A27" s="3">
        <v>43307</v>
      </c>
      <c r="B27">
        <v>6.6</v>
      </c>
      <c r="C27">
        <v>30.4</v>
      </c>
      <c r="E27" s="5">
        <v>10.199999999999999</v>
      </c>
    </row>
    <row r="28" spans="1:5" x14ac:dyDescent="0.5">
      <c r="A28" s="3">
        <v>43308</v>
      </c>
      <c r="B28">
        <v>10.5</v>
      </c>
      <c r="C28">
        <v>23.1</v>
      </c>
      <c r="E28" s="5">
        <v>6.8000000000000007</v>
      </c>
    </row>
    <row r="29" spans="1:5" x14ac:dyDescent="0.5">
      <c r="A29" s="3">
        <v>43309</v>
      </c>
      <c r="B29">
        <v>5.0999999999999996</v>
      </c>
      <c r="C29">
        <v>22.2</v>
      </c>
      <c r="E29" s="5">
        <v>6.1000000000000014</v>
      </c>
    </row>
    <row r="30" spans="1:5" x14ac:dyDescent="0.5">
      <c r="A30" s="3">
        <v>43310</v>
      </c>
      <c r="B30">
        <v>4.2</v>
      </c>
      <c r="C30">
        <v>21.2</v>
      </c>
      <c r="E30" s="5">
        <v>5.6</v>
      </c>
    </row>
    <row r="31" spans="1:5" x14ac:dyDescent="0.5">
      <c r="A31" s="3">
        <v>43311</v>
      </c>
      <c r="B31">
        <v>1.7</v>
      </c>
      <c r="C31">
        <v>24.5</v>
      </c>
      <c r="E31" s="5">
        <v>7.25</v>
      </c>
    </row>
    <row r="32" spans="1:5" x14ac:dyDescent="0.5">
      <c r="A32" s="3">
        <v>43312</v>
      </c>
      <c r="B32">
        <v>4.0999999999999996</v>
      </c>
      <c r="C32">
        <v>27.6</v>
      </c>
      <c r="E32" s="5">
        <v>8.8000000000000007</v>
      </c>
    </row>
    <row r="33" spans="1:5" x14ac:dyDescent="0.5">
      <c r="A33" s="3">
        <v>43313</v>
      </c>
      <c r="B33">
        <v>9.4</v>
      </c>
      <c r="C33">
        <v>27.4</v>
      </c>
      <c r="E33" s="5">
        <v>8.6999999999999993</v>
      </c>
    </row>
    <row r="34" spans="1:5" x14ac:dyDescent="0.5">
      <c r="A34" s="3">
        <v>43314</v>
      </c>
      <c r="B34">
        <v>14.9</v>
      </c>
      <c r="C34">
        <v>29.2</v>
      </c>
      <c r="E34" s="5">
        <v>12.05</v>
      </c>
    </row>
    <row r="35" spans="1:5" x14ac:dyDescent="0.5">
      <c r="A35" s="3">
        <v>43315</v>
      </c>
      <c r="B35">
        <v>5.7</v>
      </c>
      <c r="C35">
        <v>17.2</v>
      </c>
      <c r="E35" s="5">
        <v>3.5999999999999996</v>
      </c>
    </row>
    <row r="36" spans="1:5" x14ac:dyDescent="0.5">
      <c r="A36" s="3">
        <v>43316</v>
      </c>
      <c r="B36">
        <v>0.7</v>
      </c>
      <c r="C36">
        <v>25.2</v>
      </c>
      <c r="E36" s="5">
        <v>7.6000000000000014</v>
      </c>
    </row>
    <row r="37" spans="1:5" x14ac:dyDescent="0.5">
      <c r="A37" s="3">
        <v>43317</v>
      </c>
      <c r="B37">
        <v>7.5</v>
      </c>
      <c r="C37">
        <f>AVERAGE(C36,C38)</f>
        <v>21.049999999999997</v>
      </c>
      <c r="E37" s="5">
        <v>5.5249999999999986</v>
      </c>
    </row>
    <row r="38" spans="1:5" x14ac:dyDescent="0.5">
      <c r="A38" s="3">
        <v>43318</v>
      </c>
      <c r="B38">
        <v>2.7</v>
      </c>
      <c r="C38">
        <v>16.899999999999999</v>
      </c>
      <c r="E38" s="5">
        <v>3.4499999999999993</v>
      </c>
    </row>
    <row r="39" spans="1:5" x14ac:dyDescent="0.5">
      <c r="A39" s="3">
        <v>43319</v>
      </c>
      <c r="B39">
        <v>0.5</v>
      </c>
      <c r="C39">
        <v>19.399999999999999</v>
      </c>
      <c r="E39" s="5">
        <v>4.6999999999999993</v>
      </c>
    </row>
    <row r="40" spans="1:5" x14ac:dyDescent="0.5">
      <c r="A40" s="3">
        <v>43320</v>
      </c>
      <c r="B40">
        <v>1.3</v>
      </c>
      <c r="C40">
        <v>22</v>
      </c>
      <c r="E40" s="5">
        <v>6</v>
      </c>
    </row>
    <row r="41" spans="1:5" x14ac:dyDescent="0.5">
      <c r="A41" s="3">
        <v>43321</v>
      </c>
      <c r="B41">
        <v>1.9</v>
      </c>
      <c r="C41">
        <v>26.2</v>
      </c>
      <c r="E41" s="5">
        <v>8.1000000000000014</v>
      </c>
    </row>
    <row r="42" spans="1:5" x14ac:dyDescent="0.5">
      <c r="A42" s="3">
        <v>43322</v>
      </c>
      <c r="B42">
        <v>10.1</v>
      </c>
      <c r="C42">
        <v>27.7</v>
      </c>
      <c r="E42" s="5">
        <v>8.8999999999999986</v>
      </c>
    </row>
    <row r="43" spans="1:5" x14ac:dyDescent="0.5">
      <c r="A43" s="3">
        <v>43323</v>
      </c>
      <c r="B43">
        <v>5.6</v>
      </c>
      <c r="C43">
        <v>16.399999999999999</v>
      </c>
      <c r="E43" s="5">
        <v>3.1999999999999993</v>
      </c>
    </row>
    <row r="44" spans="1:5" x14ac:dyDescent="0.5">
      <c r="A44" s="3">
        <v>43324</v>
      </c>
      <c r="B44">
        <v>0.4</v>
      </c>
      <c r="C44">
        <v>17.3</v>
      </c>
      <c r="E44" s="5">
        <v>3.6500000000000004</v>
      </c>
    </row>
    <row r="45" spans="1:5" x14ac:dyDescent="0.5">
      <c r="A45" s="3">
        <v>43325</v>
      </c>
      <c r="B45">
        <v>-0.1</v>
      </c>
      <c r="C45">
        <v>19</v>
      </c>
      <c r="E45" s="5">
        <v>4.5</v>
      </c>
    </row>
    <row r="46" spans="1:5" x14ac:dyDescent="0.5">
      <c r="A46" s="3">
        <v>43326</v>
      </c>
      <c r="B46">
        <v>-1.2</v>
      </c>
      <c r="C46">
        <v>23.1</v>
      </c>
      <c r="E46" s="5">
        <v>6.5500000000000007</v>
      </c>
    </row>
    <row r="47" spans="1:5" x14ac:dyDescent="0.5">
      <c r="A47" s="3">
        <v>43327</v>
      </c>
      <c r="B47">
        <v>2</v>
      </c>
      <c r="C47">
        <v>27.3</v>
      </c>
      <c r="E47" s="5">
        <v>8.6499999999999986</v>
      </c>
    </row>
    <row r="48" spans="1:5" x14ac:dyDescent="0.5">
      <c r="A48" s="3">
        <v>43328</v>
      </c>
      <c r="B48">
        <v>3.7</v>
      </c>
      <c r="C48">
        <v>27.9</v>
      </c>
      <c r="E48" s="5">
        <v>8.9499999999999993</v>
      </c>
    </row>
    <row r="49" spans="1:5" x14ac:dyDescent="0.5">
      <c r="A49" s="3">
        <v>43329</v>
      </c>
      <c r="B49">
        <v>3.6</v>
      </c>
      <c r="C49">
        <v>28.7</v>
      </c>
      <c r="E49" s="5">
        <v>9.3500000000000014</v>
      </c>
    </row>
    <row r="50" spans="1:5" x14ac:dyDescent="0.5">
      <c r="A50" s="3">
        <v>43330</v>
      </c>
      <c r="B50">
        <v>4.4000000000000004</v>
      </c>
      <c r="C50">
        <v>25.2</v>
      </c>
      <c r="E50" s="5">
        <v>7.6000000000000014</v>
      </c>
    </row>
    <row r="51" spans="1:5" x14ac:dyDescent="0.5">
      <c r="A51" s="3">
        <v>43331</v>
      </c>
      <c r="B51">
        <v>5.5</v>
      </c>
      <c r="C51">
        <v>19.100000000000001</v>
      </c>
      <c r="E51" s="5">
        <v>4.5500000000000007</v>
      </c>
    </row>
    <row r="52" spans="1:5" x14ac:dyDescent="0.5">
      <c r="A52" s="3">
        <v>43332</v>
      </c>
      <c r="B52">
        <v>-0.9</v>
      </c>
      <c r="C52">
        <v>20.6</v>
      </c>
      <c r="E52" s="5">
        <v>5.3000000000000007</v>
      </c>
    </row>
    <row r="53" spans="1:5" x14ac:dyDescent="0.5">
      <c r="A53" s="3">
        <v>43333</v>
      </c>
      <c r="B53">
        <v>-1.8</v>
      </c>
      <c r="C53">
        <v>23.6</v>
      </c>
      <c r="E53" s="5">
        <v>6.8000000000000007</v>
      </c>
    </row>
    <row r="54" spans="1:5" x14ac:dyDescent="0.5">
      <c r="A54" s="3">
        <v>43334</v>
      </c>
      <c r="B54">
        <v>4.2</v>
      </c>
      <c r="C54">
        <v>27.5</v>
      </c>
      <c r="E54" s="5">
        <v>8.75</v>
      </c>
    </row>
    <row r="55" spans="1:5" x14ac:dyDescent="0.5">
      <c r="A55" s="3">
        <v>43335</v>
      </c>
      <c r="B55">
        <v>10</v>
      </c>
      <c r="C55">
        <v>21.3</v>
      </c>
      <c r="E55" s="5">
        <v>5.65</v>
      </c>
    </row>
    <row r="56" spans="1:5" x14ac:dyDescent="0.5">
      <c r="A56" s="3">
        <v>43336</v>
      </c>
      <c r="B56">
        <v>4.3</v>
      </c>
      <c r="C56">
        <v>20.8</v>
      </c>
      <c r="E56" s="5">
        <v>5.4</v>
      </c>
    </row>
    <row r="57" spans="1:5" x14ac:dyDescent="0.5">
      <c r="A57" s="3">
        <v>43337</v>
      </c>
      <c r="B57">
        <v>3.2</v>
      </c>
      <c r="C57">
        <v>20.9</v>
      </c>
      <c r="E57" s="5">
        <v>5.4499999999999993</v>
      </c>
    </row>
    <row r="58" spans="1:5" x14ac:dyDescent="0.5">
      <c r="A58" s="3">
        <v>43338</v>
      </c>
      <c r="B58">
        <v>3</v>
      </c>
      <c r="C58">
        <v>24.3</v>
      </c>
      <c r="E58" s="5">
        <v>7.1499999999999986</v>
      </c>
    </row>
    <row r="59" spans="1:5" x14ac:dyDescent="0.5">
      <c r="A59" s="3">
        <v>43339</v>
      </c>
      <c r="B59">
        <v>3.2</v>
      </c>
      <c r="C59">
        <v>25.6</v>
      </c>
      <c r="E59" s="5">
        <v>7.8000000000000007</v>
      </c>
    </row>
    <row r="60" spans="1:5" x14ac:dyDescent="0.5">
      <c r="A60" s="3">
        <v>43340</v>
      </c>
      <c r="B60">
        <v>3.9</v>
      </c>
      <c r="C60">
        <v>28.5</v>
      </c>
      <c r="E60" s="5">
        <v>9.25</v>
      </c>
    </row>
    <row r="61" spans="1:5" x14ac:dyDescent="0.5">
      <c r="A61" s="3">
        <v>43341</v>
      </c>
      <c r="B61">
        <v>15.3</v>
      </c>
      <c r="C61">
        <v>30.7</v>
      </c>
      <c r="E61" s="5">
        <v>13</v>
      </c>
    </row>
    <row r="62" spans="1:5" x14ac:dyDescent="0.5">
      <c r="A62" s="3">
        <v>43342</v>
      </c>
      <c r="B62">
        <v>20.7</v>
      </c>
      <c r="C62">
        <v>31</v>
      </c>
      <c r="E62" s="5">
        <v>15.850000000000001</v>
      </c>
    </row>
    <row r="63" spans="1:5" x14ac:dyDescent="0.5">
      <c r="A63" s="3">
        <v>43343</v>
      </c>
      <c r="B63">
        <v>10.4</v>
      </c>
      <c r="C63">
        <v>24.1</v>
      </c>
      <c r="E63" s="5">
        <v>7.25</v>
      </c>
    </row>
    <row r="64" spans="1:5" x14ac:dyDescent="0.5">
      <c r="A64" s="3">
        <v>43344</v>
      </c>
      <c r="B64">
        <v>5.4</v>
      </c>
      <c r="C64">
        <v>26.3</v>
      </c>
      <c r="E64" s="5">
        <v>8.1499999999999986</v>
      </c>
    </row>
    <row r="65" spans="1:5" x14ac:dyDescent="0.5">
      <c r="A65" s="3">
        <v>43345</v>
      </c>
      <c r="B65">
        <v>7</v>
      </c>
      <c r="C65">
        <v>26.1</v>
      </c>
      <c r="E65" s="5">
        <v>8.0500000000000007</v>
      </c>
    </row>
    <row r="66" spans="1:5" x14ac:dyDescent="0.5">
      <c r="A66" s="3">
        <v>43346</v>
      </c>
      <c r="B66">
        <v>8.8000000000000007</v>
      </c>
      <c r="C66">
        <v>26</v>
      </c>
      <c r="E66" s="5">
        <v>8</v>
      </c>
    </row>
    <row r="67" spans="1:5" x14ac:dyDescent="0.5">
      <c r="A67" s="3">
        <v>43347</v>
      </c>
      <c r="B67">
        <v>9.9</v>
      </c>
      <c r="C67">
        <v>27.2</v>
      </c>
      <c r="E67" s="5">
        <v>8.6000000000000014</v>
      </c>
    </row>
    <row r="68" spans="1:5" x14ac:dyDescent="0.5">
      <c r="A68" s="3">
        <v>43348</v>
      </c>
      <c r="B68">
        <v>8.5</v>
      </c>
      <c r="C68">
        <v>32.6</v>
      </c>
      <c r="E68" s="5">
        <v>11.3</v>
      </c>
    </row>
    <row r="69" spans="1:5" x14ac:dyDescent="0.5">
      <c r="A69" s="3">
        <v>43349</v>
      </c>
      <c r="B69">
        <v>15.3</v>
      </c>
      <c r="C69">
        <v>27.6</v>
      </c>
      <c r="E69" s="5">
        <v>11.450000000000003</v>
      </c>
    </row>
    <row r="70" spans="1:5" x14ac:dyDescent="0.5">
      <c r="A70" s="3">
        <v>43350</v>
      </c>
      <c r="B70">
        <v>8.1999999999999993</v>
      </c>
      <c r="C70">
        <v>24.9</v>
      </c>
      <c r="E70" s="5">
        <v>7.4499999999999993</v>
      </c>
    </row>
    <row r="71" spans="1:5" x14ac:dyDescent="0.5">
      <c r="A71" s="3">
        <v>43351</v>
      </c>
      <c r="B71">
        <v>5.9</v>
      </c>
      <c r="C71">
        <v>27.3</v>
      </c>
      <c r="E71" s="5">
        <v>8.6499999999999986</v>
      </c>
    </row>
    <row r="72" spans="1:5" x14ac:dyDescent="0.5">
      <c r="A72" s="3">
        <v>43352</v>
      </c>
      <c r="B72">
        <v>6.3</v>
      </c>
      <c r="C72">
        <v>26.5</v>
      </c>
      <c r="E72" s="5">
        <v>8.25</v>
      </c>
    </row>
    <row r="73" spans="1:5" x14ac:dyDescent="0.5">
      <c r="A73" s="3">
        <v>43353</v>
      </c>
      <c r="B73">
        <v>3.2</v>
      </c>
      <c r="C73">
        <v>27.1</v>
      </c>
      <c r="E73" s="5">
        <v>8.5500000000000007</v>
      </c>
    </row>
    <row r="74" spans="1:5" x14ac:dyDescent="0.5">
      <c r="A74" s="3">
        <v>43354</v>
      </c>
      <c r="B74">
        <v>5</v>
      </c>
      <c r="C74">
        <v>32.4</v>
      </c>
      <c r="E74" s="5">
        <v>11.2</v>
      </c>
    </row>
    <row r="75" spans="1:5" x14ac:dyDescent="0.5">
      <c r="A75" s="3">
        <v>43355</v>
      </c>
      <c r="B75">
        <v>11.7</v>
      </c>
      <c r="C75">
        <v>23.9</v>
      </c>
      <c r="E75" s="5">
        <v>7.7999999999999972</v>
      </c>
    </row>
    <row r="76" spans="1:5" x14ac:dyDescent="0.5">
      <c r="A76" s="3">
        <v>43356</v>
      </c>
      <c r="B76">
        <v>6</v>
      </c>
      <c r="C76">
        <v>28.2</v>
      </c>
      <c r="E76" s="5">
        <v>9.1000000000000014</v>
      </c>
    </row>
    <row r="77" spans="1:5" x14ac:dyDescent="0.5">
      <c r="A77" s="3">
        <v>43357</v>
      </c>
      <c r="B77">
        <v>11.8</v>
      </c>
      <c r="C77">
        <v>33.299999999999997</v>
      </c>
      <c r="E77" s="5">
        <v>12.549999999999997</v>
      </c>
    </row>
    <row r="78" spans="1:5" x14ac:dyDescent="0.5">
      <c r="A78" s="3">
        <v>43358</v>
      </c>
      <c r="B78">
        <v>15.9</v>
      </c>
      <c r="C78">
        <v>23.3</v>
      </c>
      <c r="E78" s="5">
        <v>9.6000000000000014</v>
      </c>
    </row>
    <row r="79" spans="1:5" x14ac:dyDescent="0.5">
      <c r="A79" s="3">
        <v>43359</v>
      </c>
      <c r="B79">
        <v>6.3</v>
      </c>
      <c r="C79">
        <v>21</v>
      </c>
      <c r="E79" s="5">
        <v>5.5</v>
      </c>
    </row>
    <row r="80" spans="1:5" x14ac:dyDescent="0.5">
      <c r="A80" s="3">
        <v>43360</v>
      </c>
      <c r="B80">
        <v>2.5</v>
      </c>
      <c r="C80">
        <v>29.6</v>
      </c>
      <c r="E80" s="5">
        <v>9.8000000000000007</v>
      </c>
    </row>
    <row r="81" spans="1:5" x14ac:dyDescent="0.5">
      <c r="A81" s="3">
        <v>43361</v>
      </c>
      <c r="B81">
        <v>14.9</v>
      </c>
      <c r="C81">
        <v>34.6</v>
      </c>
      <c r="E81" s="5">
        <v>14.75</v>
      </c>
    </row>
    <row r="82" spans="1:5" x14ac:dyDescent="0.5">
      <c r="A82" s="3">
        <v>43362</v>
      </c>
      <c r="B82">
        <v>12.9</v>
      </c>
      <c r="C82">
        <v>18.5</v>
      </c>
      <c r="E82" s="5">
        <v>5.6999999999999993</v>
      </c>
    </row>
    <row r="83" spans="1:5" x14ac:dyDescent="0.5">
      <c r="A83" s="3">
        <v>43363</v>
      </c>
      <c r="B83">
        <v>4.3</v>
      </c>
      <c r="C83">
        <v>21</v>
      </c>
      <c r="E83" s="5">
        <v>5.5</v>
      </c>
    </row>
    <row r="84" spans="1:5" x14ac:dyDescent="0.5">
      <c r="A84" s="3">
        <v>43364</v>
      </c>
      <c r="B84">
        <v>11.7</v>
      </c>
      <c r="C84">
        <v>17.899999999999999</v>
      </c>
      <c r="E84" s="5">
        <v>4.7999999999999989</v>
      </c>
    </row>
    <row r="85" spans="1:5" x14ac:dyDescent="0.5">
      <c r="A85" s="3">
        <v>43365</v>
      </c>
      <c r="B85">
        <v>4.9000000000000004</v>
      </c>
      <c r="C85">
        <v>26.4</v>
      </c>
      <c r="E85" s="5">
        <v>8.1999999999999993</v>
      </c>
    </row>
    <row r="86" spans="1:5" x14ac:dyDescent="0.5">
      <c r="A86" s="3">
        <v>43366</v>
      </c>
      <c r="B86">
        <v>6.9</v>
      </c>
      <c r="C86">
        <v>29.3</v>
      </c>
      <c r="E86" s="5">
        <v>9.6499999999999986</v>
      </c>
    </row>
    <row r="87" spans="1:5" x14ac:dyDescent="0.5">
      <c r="A87" s="3">
        <v>43367</v>
      </c>
      <c r="B87">
        <v>8</v>
      </c>
      <c r="C87">
        <v>30</v>
      </c>
      <c r="E87" s="5">
        <v>10</v>
      </c>
    </row>
    <row r="88" spans="1:5" x14ac:dyDescent="0.5">
      <c r="A88" s="3">
        <v>43368</v>
      </c>
      <c r="B88">
        <v>8.1</v>
      </c>
      <c r="C88">
        <v>29.7</v>
      </c>
      <c r="E88" s="5">
        <v>9.8500000000000014</v>
      </c>
    </row>
    <row r="89" spans="1:5" x14ac:dyDescent="0.5">
      <c r="A89" s="3">
        <v>43369</v>
      </c>
      <c r="B89">
        <v>7.8</v>
      </c>
      <c r="C89">
        <v>30</v>
      </c>
      <c r="E89" s="5">
        <v>10</v>
      </c>
    </row>
    <row r="90" spans="1:5" x14ac:dyDescent="0.5">
      <c r="A90" s="3">
        <v>43370</v>
      </c>
      <c r="B90">
        <v>7.3</v>
      </c>
      <c r="C90">
        <v>32.700000000000003</v>
      </c>
      <c r="E90" s="5">
        <v>11.350000000000001</v>
      </c>
    </row>
    <row r="91" spans="1:5" x14ac:dyDescent="0.5">
      <c r="A91" s="3">
        <v>43371</v>
      </c>
      <c r="B91">
        <v>9.1</v>
      </c>
      <c r="C91">
        <v>35.200000000000003</v>
      </c>
      <c r="E91" s="5">
        <v>12.600000000000001</v>
      </c>
    </row>
    <row r="92" spans="1:5" x14ac:dyDescent="0.5">
      <c r="A92" s="3">
        <v>43372</v>
      </c>
      <c r="B92">
        <v>14</v>
      </c>
      <c r="C92">
        <v>29.1</v>
      </c>
      <c r="E92" s="5">
        <v>11.55</v>
      </c>
    </row>
    <row r="93" spans="1:5" x14ac:dyDescent="0.5">
      <c r="A93" s="3">
        <v>43373</v>
      </c>
      <c r="B93">
        <v>12.5</v>
      </c>
      <c r="C93">
        <v>33.200000000000003</v>
      </c>
      <c r="E93" s="5">
        <v>12.850000000000001</v>
      </c>
    </row>
    <row r="94" spans="1:5" x14ac:dyDescent="0.5">
      <c r="A94" s="3">
        <v>43374</v>
      </c>
      <c r="B94">
        <v>16.899999999999999</v>
      </c>
      <c r="C94">
        <v>36</v>
      </c>
      <c r="E94" s="5">
        <v>16.45</v>
      </c>
    </row>
    <row r="95" spans="1:5" x14ac:dyDescent="0.5">
      <c r="A95" s="3">
        <v>43375</v>
      </c>
      <c r="B95">
        <v>18.5</v>
      </c>
      <c r="C95">
        <v>36.4</v>
      </c>
      <c r="E95" s="5">
        <v>17.45</v>
      </c>
    </row>
    <row r="96" spans="1:5" x14ac:dyDescent="0.5">
      <c r="A96" s="3">
        <v>43376</v>
      </c>
      <c r="B96">
        <v>17.7</v>
      </c>
      <c r="C96">
        <v>34.299999999999997</v>
      </c>
      <c r="E96" s="5">
        <v>16</v>
      </c>
    </row>
    <row r="97" spans="1:5" x14ac:dyDescent="0.5">
      <c r="A97" s="3">
        <v>43377</v>
      </c>
      <c r="B97">
        <v>14.8</v>
      </c>
      <c r="C97">
        <v>28.2</v>
      </c>
      <c r="E97" s="5">
        <v>11.5</v>
      </c>
    </row>
    <row r="98" spans="1:5" x14ac:dyDescent="0.5">
      <c r="A98" s="3">
        <v>43378</v>
      </c>
      <c r="B98">
        <v>12.5</v>
      </c>
      <c r="C98">
        <v>29.9</v>
      </c>
      <c r="E98" s="5">
        <v>11.2</v>
      </c>
    </row>
    <row r="99" spans="1:5" x14ac:dyDescent="0.5">
      <c r="A99" s="3">
        <v>43379</v>
      </c>
      <c r="B99">
        <v>15.3</v>
      </c>
      <c r="C99">
        <v>33.200000000000003</v>
      </c>
      <c r="E99" s="5">
        <v>14.25</v>
      </c>
    </row>
    <row r="100" spans="1:5" x14ac:dyDescent="0.5">
      <c r="A100" s="3">
        <v>43380</v>
      </c>
      <c r="B100">
        <v>14</v>
      </c>
      <c r="C100">
        <v>37.700000000000003</v>
      </c>
      <c r="E100" s="5">
        <v>15.850000000000001</v>
      </c>
    </row>
    <row r="101" spans="1:5" x14ac:dyDescent="0.5">
      <c r="A101" s="3">
        <v>43381</v>
      </c>
      <c r="B101">
        <v>21.4</v>
      </c>
      <c r="C101">
        <v>34.799999999999997</v>
      </c>
      <c r="E101" s="5">
        <v>18.099999999999998</v>
      </c>
    </row>
    <row r="102" spans="1:5" x14ac:dyDescent="0.5">
      <c r="A102" s="3">
        <v>43382</v>
      </c>
      <c r="B102">
        <v>21.8</v>
      </c>
      <c r="C102">
        <f>AVERAGE(C101,C103)</f>
        <v>32.799999999999997</v>
      </c>
      <c r="E102" s="5">
        <v>17.299999999999997</v>
      </c>
    </row>
    <row r="103" spans="1:5" x14ac:dyDescent="0.5">
      <c r="A103" s="3">
        <v>43383</v>
      </c>
      <c r="B103">
        <v>14.4</v>
      </c>
      <c r="C103">
        <v>30.8</v>
      </c>
      <c r="E103" s="5">
        <v>12.600000000000001</v>
      </c>
    </row>
    <row r="104" spans="1:5" x14ac:dyDescent="0.5">
      <c r="A104" s="3">
        <v>43384</v>
      </c>
      <c r="B104">
        <v>18.899999999999999</v>
      </c>
      <c r="C104">
        <v>29.4</v>
      </c>
      <c r="E104" s="5">
        <v>14.149999999999999</v>
      </c>
    </row>
    <row r="105" spans="1:5" x14ac:dyDescent="0.5">
      <c r="A105" s="3">
        <v>43385</v>
      </c>
      <c r="B105">
        <v>16.399999999999999</v>
      </c>
      <c r="C105">
        <v>31</v>
      </c>
      <c r="E105" s="5">
        <v>13.7</v>
      </c>
    </row>
    <row r="106" spans="1:5" x14ac:dyDescent="0.5">
      <c r="A106" s="3">
        <v>43386</v>
      </c>
      <c r="B106">
        <v>15.8</v>
      </c>
      <c r="C106">
        <v>34.6</v>
      </c>
      <c r="E106" s="5">
        <v>15.200000000000003</v>
      </c>
    </row>
    <row r="107" spans="1:5" x14ac:dyDescent="0.5">
      <c r="A107" s="3">
        <v>43387</v>
      </c>
      <c r="B107">
        <v>21.5</v>
      </c>
      <c r="C107">
        <v>38.5</v>
      </c>
      <c r="E107" s="5">
        <v>20</v>
      </c>
    </row>
    <row r="108" spans="1:5" x14ac:dyDescent="0.5">
      <c r="A108" s="3">
        <v>43388</v>
      </c>
      <c r="B108">
        <v>21.9</v>
      </c>
      <c r="C108">
        <v>31.5</v>
      </c>
      <c r="E108" s="5">
        <v>16.7</v>
      </c>
    </row>
    <row r="109" spans="1:5" x14ac:dyDescent="0.5">
      <c r="A109" s="3">
        <v>43389</v>
      </c>
      <c r="B109">
        <v>14.7</v>
      </c>
      <c r="C109">
        <v>28.1</v>
      </c>
      <c r="E109" s="5">
        <v>11.399999999999999</v>
      </c>
    </row>
    <row r="110" spans="1:5" x14ac:dyDescent="0.5">
      <c r="A110" s="3">
        <v>43390</v>
      </c>
      <c r="B110">
        <v>11</v>
      </c>
      <c r="C110">
        <v>29.8</v>
      </c>
      <c r="E110" s="5">
        <v>10.399999999999999</v>
      </c>
    </row>
    <row r="111" spans="1:5" x14ac:dyDescent="0.5">
      <c r="A111" s="3">
        <v>43391</v>
      </c>
      <c r="B111">
        <v>12.3</v>
      </c>
      <c r="C111">
        <v>34.9</v>
      </c>
      <c r="E111" s="5">
        <v>13.600000000000001</v>
      </c>
    </row>
    <row r="112" spans="1:5" x14ac:dyDescent="0.5">
      <c r="A112" s="3">
        <v>43392</v>
      </c>
      <c r="B112">
        <v>22.3</v>
      </c>
      <c r="C112">
        <v>37.5</v>
      </c>
      <c r="E112" s="5">
        <v>19.899999999999999</v>
      </c>
    </row>
    <row r="113" spans="1:5" x14ac:dyDescent="0.5">
      <c r="A113" s="3">
        <v>43393</v>
      </c>
      <c r="B113">
        <v>18.5</v>
      </c>
      <c r="C113">
        <v>28.9</v>
      </c>
      <c r="E113" s="5">
        <v>13.7</v>
      </c>
    </row>
    <row r="114" spans="1:5" x14ac:dyDescent="0.5">
      <c r="A114" s="3">
        <v>43394</v>
      </c>
      <c r="B114">
        <v>10.1</v>
      </c>
      <c r="C114">
        <v>32.1</v>
      </c>
      <c r="E114" s="5">
        <v>11.100000000000001</v>
      </c>
    </row>
    <row r="115" spans="1:5" x14ac:dyDescent="0.5">
      <c r="A115" s="3">
        <v>43395</v>
      </c>
      <c r="B115">
        <v>13.5</v>
      </c>
      <c r="C115">
        <v>38</v>
      </c>
      <c r="E115" s="5">
        <v>15.75</v>
      </c>
    </row>
    <row r="116" spans="1:5" x14ac:dyDescent="0.5">
      <c r="A116" s="3">
        <v>43396</v>
      </c>
      <c r="B116">
        <v>17.399999999999999</v>
      </c>
      <c r="C116">
        <v>38.5</v>
      </c>
      <c r="E116" s="5">
        <v>17.95</v>
      </c>
    </row>
    <row r="117" spans="1:5" x14ac:dyDescent="0.5">
      <c r="A117" s="3">
        <v>43397</v>
      </c>
      <c r="B117">
        <v>18.100000000000001</v>
      </c>
      <c r="C117">
        <v>39</v>
      </c>
      <c r="E117" s="5">
        <v>18.55</v>
      </c>
    </row>
    <row r="118" spans="1:5" x14ac:dyDescent="0.5">
      <c r="A118" s="3">
        <v>43398</v>
      </c>
      <c r="B118">
        <v>20</v>
      </c>
      <c r="C118">
        <v>41.8</v>
      </c>
      <c r="E118" s="5">
        <v>20.9</v>
      </c>
    </row>
    <row r="119" spans="1:5" x14ac:dyDescent="0.5">
      <c r="A119" s="3">
        <v>43399</v>
      </c>
      <c r="B119">
        <v>20.399999999999999</v>
      </c>
      <c r="C119">
        <v>40.700000000000003</v>
      </c>
      <c r="E119" s="5">
        <v>20.55</v>
      </c>
    </row>
    <row r="120" spans="1:5" x14ac:dyDescent="0.5">
      <c r="A120" s="3">
        <v>43400</v>
      </c>
      <c r="B120">
        <v>19.2</v>
      </c>
      <c r="C120">
        <v>26.8</v>
      </c>
      <c r="E120" s="5">
        <v>13</v>
      </c>
    </row>
    <row r="121" spans="1:5" x14ac:dyDescent="0.5">
      <c r="A121" s="3">
        <v>43401</v>
      </c>
      <c r="B121">
        <v>17.899999999999999</v>
      </c>
      <c r="C121">
        <v>33.200000000000003</v>
      </c>
      <c r="E121" s="5">
        <v>15.55</v>
      </c>
    </row>
    <row r="122" spans="1:5" x14ac:dyDescent="0.5">
      <c r="A122" s="3">
        <v>43402</v>
      </c>
      <c r="B122">
        <v>18.7</v>
      </c>
      <c r="C122">
        <v>28.4</v>
      </c>
      <c r="E122" s="5">
        <v>13.549999999999997</v>
      </c>
    </row>
    <row r="123" spans="1:5" x14ac:dyDescent="0.5">
      <c r="A123" s="3">
        <v>43403</v>
      </c>
      <c r="B123">
        <v>17.600000000000001</v>
      </c>
      <c r="C123">
        <v>36.4</v>
      </c>
      <c r="E123" s="5">
        <v>17</v>
      </c>
    </row>
    <row r="124" spans="1:5" x14ac:dyDescent="0.5">
      <c r="A124" s="3">
        <v>43404</v>
      </c>
      <c r="B124">
        <v>25</v>
      </c>
      <c r="C124">
        <v>35.700000000000003</v>
      </c>
      <c r="E124" s="5">
        <v>20.350000000000001</v>
      </c>
    </row>
    <row r="125" spans="1:5" x14ac:dyDescent="0.5">
      <c r="A125" s="3">
        <v>43405</v>
      </c>
      <c r="B125">
        <v>23</v>
      </c>
      <c r="C125">
        <v>39.299999999999997</v>
      </c>
      <c r="E125" s="5">
        <v>21.15</v>
      </c>
    </row>
    <row r="126" spans="1:5" x14ac:dyDescent="0.5">
      <c r="A126" s="3">
        <v>43406</v>
      </c>
      <c r="B126">
        <v>21.7</v>
      </c>
      <c r="C126">
        <v>37.4</v>
      </c>
      <c r="E126" s="5">
        <v>19.549999999999997</v>
      </c>
    </row>
    <row r="127" spans="1:5" x14ac:dyDescent="0.5">
      <c r="A127" s="3">
        <v>43407</v>
      </c>
      <c r="B127">
        <v>21</v>
      </c>
      <c r="C127">
        <v>40.9</v>
      </c>
      <c r="E127" s="5">
        <v>20.95</v>
      </c>
    </row>
    <row r="128" spans="1:5" x14ac:dyDescent="0.5">
      <c r="A128" s="3">
        <v>43408</v>
      </c>
      <c r="B128">
        <v>25.2</v>
      </c>
      <c r="C128">
        <v>40.6</v>
      </c>
      <c r="E128" s="5">
        <v>22.9</v>
      </c>
    </row>
    <row r="129" spans="1:5" x14ac:dyDescent="0.5">
      <c r="A129" s="3">
        <v>43409</v>
      </c>
      <c r="B129">
        <v>20.100000000000001</v>
      </c>
      <c r="C129">
        <v>29.3</v>
      </c>
      <c r="E129" s="5">
        <v>14.700000000000003</v>
      </c>
    </row>
    <row r="130" spans="1:5" x14ac:dyDescent="0.5">
      <c r="A130" s="3">
        <v>43410</v>
      </c>
      <c r="B130">
        <v>20.3</v>
      </c>
      <c r="C130">
        <v>38.9</v>
      </c>
      <c r="E130" s="5">
        <v>19.600000000000001</v>
      </c>
    </row>
    <row r="131" spans="1:5" x14ac:dyDescent="0.5">
      <c r="A131" s="3">
        <v>43411</v>
      </c>
      <c r="B131">
        <v>16.3</v>
      </c>
      <c r="C131">
        <v>17.600000000000001</v>
      </c>
      <c r="E131" s="5">
        <v>6.9500000000000028</v>
      </c>
    </row>
    <row r="132" spans="1:5" x14ac:dyDescent="0.5">
      <c r="A132" s="3">
        <v>43412</v>
      </c>
      <c r="B132">
        <v>9.6999999999999993</v>
      </c>
      <c r="C132">
        <v>23.7</v>
      </c>
      <c r="E132" s="5">
        <v>6.8500000000000014</v>
      </c>
    </row>
    <row r="133" spans="1:5" x14ac:dyDescent="0.5">
      <c r="A133" s="3">
        <v>43413</v>
      </c>
      <c r="B133">
        <v>12.3</v>
      </c>
      <c r="C133">
        <v>27.2</v>
      </c>
      <c r="E133" s="5">
        <v>9.75</v>
      </c>
    </row>
    <row r="134" spans="1:5" x14ac:dyDescent="0.5">
      <c r="A134" s="3">
        <v>43414</v>
      </c>
      <c r="B134">
        <v>11.9</v>
      </c>
      <c r="C134">
        <v>29.9</v>
      </c>
      <c r="E134" s="5">
        <v>10.899999999999999</v>
      </c>
    </row>
    <row r="135" spans="1:5" x14ac:dyDescent="0.5">
      <c r="A135" s="3">
        <v>43415</v>
      </c>
      <c r="B135">
        <v>11.8</v>
      </c>
      <c r="C135">
        <v>31.9</v>
      </c>
      <c r="E135" s="5">
        <v>11.850000000000001</v>
      </c>
    </row>
    <row r="136" spans="1:5" x14ac:dyDescent="0.5">
      <c r="A136" s="3">
        <v>43416</v>
      </c>
      <c r="B136">
        <v>15.4</v>
      </c>
      <c r="C136">
        <v>37.9</v>
      </c>
      <c r="E136" s="5">
        <v>16.649999999999999</v>
      </c>
    </row>
    <row r="137" spans="1:5" x14ac:dyDescent="0.5">
      <c r="A137" s="3">
        <v>43417</v>
      </c>
      <c r="B137">
        <v>23.8</v>
      </c>
      <c r="C137">
        <v>36.6</v>
      </c>
      <c r="E137" s="5">
        <v>20.200000000000003</v>
      </c>
    </row>
    <row r="138" spans="1:5" x14ac:dyDescent="0.5">
      <c r="A138" s="3">
        <v>43418</v>
      </c>
      <c r="C138">
        <v>37.1</v>
      </c>
      <c r="E138" s="5" t="str">
        <v/>
      </c>
    </row>
    <row r="139" spans="1:5" x14ac:dyDescent="0.5">
      <c r="A139" s="3">
        <v>43419</v>
      </c>
      <c r="B139">
        <v>23.6</v>
      </c>
      <c r="C139">
        <v>36.4</v>
      </c>
      <c r="E139" s="5">
        <v>20</v>
      </c>
    </row>
    <row r="140" spans="1:5" x14ac:dyDescent="0.5">
      <c r="A140" s="3">
        <v>43420</v>
      </c>
      <c r="B140">
        <v>23.7</v>
      </c>
      <c r="C140">
        <v>28.2</v>
      </c>
      <c r="E140" s="5">
        <v>15.95</v>
      </c>
    </row>
    <row r="141" spans="1:5" x14ac:dyDescent="0.5">
      <c r="A141" s="3">
        <v>43421</v>
      </c>
      <c r="B141">
        <v>20</v>
      </c>
      <c r="C141">
        <v>29.3</v>
      </c>
      <c r="E141" s="5">
        <v>14.649999999999999</v>
      </c>
    </row>
    <row r="142" spans="1:5" x14ac:dyDescent="0.5">
      <c r="A142" s="3">
        <v>43422</v>
      </c>
      <c r="B142">
        <v>17.399999999999999</v>
      </c>
      <c r="C142">
        <v>33.1</v>
      </c>
      <c r="E142" s="5">
        <v>15.25</v>
      </c>
    </row>
    <row r="143" spans="1:5" x14ac:dyDescent="0.5">
      <c r="A143" s="3">
        <v>43423</v>
      </c>
      <c r="B143">
        <v>19.399999999999999</v>
      </c>
      <c r="C143">
        <v>38.200000000000003</v>
      </c>
      <c r="E143" s="5">
        <v>18.8</v>
      </c>
    </row>
    <row r="144" spans="1:5" x14ac:dyDescent="0.5">
      <c r="A144" s="3">
        <v>43424</v>
      </c>
      <c r="B144">
        <v>22.7</v>
      </c>
      <c r="C144">
        <v>39.5</v>
      </c>
      <c r="E144" s="5">
        <v>21.1</v>
      </c>
    </row>
    <row r="145" spans="1:5" x14ac:dyDescent="0.5">
      <c r="A145" s="3">
        <v>43425</v>
      </c>
      <c r="B145">
        <v>16.899999999999999</v>
      </c>
      <c r="C145">
        <v>21.1</v>
      </c>
      <c r="E145" s="5">
        <v>9</v>
      </c>
    </row>
    <row r="146" spans="1:5" x14ac:dyDescent="0.5">
      <c r="A146" s="3">
        <v>43426</v>
      </c>
      <c r="B146">
        <v>15.9</v>
      </c>
      <c r="C146">
        <v>27</v>
      </c>
      <c r="E146" s="5">
        <v>11.45</v>
      </c>
    </row>
    <row r="147" spans="1:5" x14ac:dyDescent="0.5">
      <c r="A147" s="3">
        <v>43427</v>
      </c>
      <c r="B147">
        <v>15.6</v>
      </c>
      <c r="C147">
        <v>35.6</v>
      </c>
      <c r="E147" s="5">
        <v>15.600000000000001</v>
      </c>
    </row>
    <row r="148" spans="1:5" x14ac:dyDescent="0.5">
      <c r="A148" s="3">
        <v>43428</v>
      </c>
      <c r="B148">
        <v>22.8</v>
      </c>
      <c r="C148">
        <v>39.299999999999997</v>
      </c>
      <c r="E148" s="5">
        <v>21.049999999999997</v>
      </c>
    </row>
    <row r="149" spans="1:5" x14ac:dyDescent="0.5">
      <c r="A149" s="3">
        <v>43429</v>
      </c>
      <c r="B149">
        <v>20.5</v>
      </c>
      <c r="C149">
        <v>35.4</v>
      </c>
      <c r="E149" s="5">
        <v>17.95</v>
      </c>
    </row>
    <row r="150" spans="1:5" x14ac:dyDescent="0.5">
      <c r="A150" s="3">
        <v>43430</v>
      </c>
      <c r="B150">
        <v>22.3</v>
      </c>
      <c r="C150">
        <v>38.1</v>
      </c>
      <c r="E150" s="5">
        <v>20.200000000000003</v>
      </c>
    </row>
    <row r="151" spans="1:5" x14ac:dyDescent="0.5">
      <c r="A151" s="3">
        <v>43431</v>
      </c>
      <c r="C151">
        <v>34.1</v>
      </c>
      <c r="E151" s="5" t="str">
        <v/>
      </c>
    </row>
    <row r="152" spans="1:5" x14ac:dyDescent="0.5">
      <c r="A152" s="3">
        <v>43432</v>
      </c>
      <c r="B152">
        <v>14.9</v>
      </c>
      <c r="C152">
        <v>32</v>
      </c>
      <c r="E152" s="5">
        <v>13.45</v>
      </c>
    </row>
    <row r="153" spans="1:5" x14ac:dyDescent="0.5">
      <c r="A153" s="3">
        <v>43433</v>
      </c>
      <c r="B153">
        <v>15.6</v>
      </c>
      <c r="C153">
        <v>37.200000000000003</v>
      </c>
      <c r="E153" s="5">
        <v>16.400000000000002</v>
      </c>
    </row>
    <row r="154" spans="1:5" x14ac:dyDescent="0.5">
      <c r="A154" s="3">
        <v>43434</v>
      </c>
      <c r="B154">
        <v>23.9</v>
      </c>
      <c r="C154">
        <v>38</v>
      </c>
      <c r="E154" s="5">
        <v>20.95</v>
      </c>
    </row>
    <row r="155" spans="1:5" x14ac:dyDescent="0.5">
      <c r="A155" s="3">
        <v>43435</v>
      </c>
      <c r="B155">
        <v>21.3</v>
      </c>
      <c r="C155">
        <v>34.5</v>
      </c>
      <c r="E155" s="5">
        <v>17.899999999999999</v>
      </c>
    </row>
    <row r="156" spans="1:5" x14ac:dyDescent="0.5">
      <c r="A156" s="3">
        <v>43436</v>
      </c>
      <c r="B156">
        <v>21.8</v>
      </c>
      <c r="C156">
        <v>36.200000000000003</v>
      </c>
      <c r="E156" s="5">
        <v>19</v>
      </c>
    </row>
    <row r="157" spans="1:5" x14ac:dyDescent="0.5">
      <c r="A157" s="3">
        <v>43437</v>
      </c>
      <c r="B157">
        <v>21.2</v>
      </c>
      <c r="C157">
        <v>29</v>
      </c>
      <c r="E157" s="5">
        <v>15.100000000000001</v>
      </c>
    </row>
    <row r="158" spans="1:5" x14ac:dyDescent="0.5">
      <c r="A158" s="3">
        <v>43438</v>
      </c>
      <c r="B158">
        <v>18.8</v>
      </c>
      <c r="C158">
        <v>34.1</v>
      </c>
      <c r="E158" s="5">
        <v>16.450000000000003</v>
      </c>
    </row>
    <row r="159" spans="1:5" x14ac:dyDescent="0.5">
      <c r="A159" s="3">
        <v>43439</v>
      </c>
      <c r="B159">
        <v>17.2</v>
      </c>
      <c r="C159">
        <v>36.1</v>
      </c>
      <c r="E159" s="5">
        <v>16.649999999999999</v>
      </c>
    </row>
    <row r="160" spans="1:5" x14ac:dyDescent="0.5">
      <c r="A160" s="3">
        <v>43440</v>
      </c>
      <c r="B160">
        <v>17.3</v>
      </c>
      <c r="C160">
        <v>38.4</v>
      </c>
      <c r="E160" s="5">
        <v>17.850000000000001</v>
      </c>
    </row>
    <row r="161" spans="1:5" x14ac:dyDescent="0.5">
      <c r="A161" s="3">
        <v>43441</v>
      </c>
      <c r="B161">
        <v>18.399999999999999</v>
      </c>
      <c r="C161">
        <v>40.1</v>
      </c>
      <c r="E161" s="5">
        <v>19.25</v>
      </c>
    </row>
    <row r="162" spans="1:5" x14ac:dyDescent="0.5">
      <c r="A162" s="3">
        <v>43442</v>
      </c>
      <c r="B162">
        <v>22.8</v>
      </c>
      <c r="C162">
        <v>40.700000000000003</v>
      </c>
      <c r="E162" s="5">
        <v>21.75</v>
      </c>
    </row>
    <row r="163" spans="1:5" x14ac:dyDescent="0.5">
      <c r="A163" s="3">
        <v>43443</v>
      </c>
      <c r="B163">
        <v>20.9</v>
      </c>
      <c r="C163">
        <v>41.3</v>
      </c>
      <c r="E163" s="5">
        <v>21.099999999999998</v>
      </c>
    </row>
    <row r="164" spans="1:5" x14ac:dyDescent="0.5">
      <c r="A164" s="3">
        <v>43444</v>
      </c>
      <c r="B164">
        <v>21.3</v>
      </c>
      <c r="C164">
        <v>39.5</v>
      </c>
      <c r="E164" s="5">
        <v>20.399999999999999</v>
      </c>
    </row>
    <row r="165" spans="1:5" x14ac:dyDescent="0.5">
      <c r="A165" s="3">
        <v>43445</v>
      </c>
      <c r="B165">
        <v>21.6</v>
      </c>
      <c r="C165">
        <v>41.7</v>
      </c>
      <c r="E165" s="5">
        <v>21.650000000000002</v>
      </c>
    </row>
    <row r="166" spans="1:5" x14ac:dyDescent="0.5">
      <c r="A166" s="3">
        <v>43446</v>
      </c>
      <c r="B166">
        <v>23.3</v>
      </c>
      <c r="C166">
        <v>43.2</v>
      </c>
      <c r="E166" s="5">
        <v>23.25</v>
      </c>
    </row>
    <row r="167" spans="1:5" x14ac:dyDescent="0.5">
      <c r="A167" s="3">
        <v>43447</v>
      </c>
      <c r="B167">
        <v>24.7</v>
      </c>
      <c r="C167">
        <v>34.6</v>
      </c>
      <c r="E167" s="5">
        <v>19.649999999999999</v>
      </c>
    </row>
    <row r="168" spans="1:5" x14ac:dyDescent="0.5">
      <c r="A168" s="3">
        <v>43448</v>
      </c>
      <c r="B168">
        <v>18.7</v>
      </c>
      <c r="C168">
        <v>30.4</v>
      </c>
      <c r="E168" s="5">
        <v>14.549999999999997</v>
      </c>
    </row>
    <row r="169" spans="1:5" x14ac:dyDescent="0.5">
      <c r="A169" s="3">
        <v>43449</v>
      </c>
      <c r="B169">
        <v>12.4</v>
      </c>
      <c r="C169">
        <v>34.700000000000003</v>
      </c>
      <c r="E169" s="5">
        <v>13.55</v>
      </c>
    </row>
    <row r="170" spans="1:5" x14ac:dyDescent="0.5">
      <c r="A170" s="3">
        <v>43450</v>
      </c>
      <c r="B170">
        <v>14.9</v>
      </c>
      <c r="C170">
        <v>38.5</v>
      </c>
      <c r="E170" s="5">
        <v>16.7</v>
      </c>
    </row>
    <row r="171" spans="1:5" x14ac:dyDescent="0.5">
      <c r="A171" s="3">
        <v>43451</v>
      </c>
      <c r="B171">
        <v>18.600000000000001</v>
      </c>
      <c r="C171">
        <v>42.1</v>
      </c>
      <c r="E171" s="5">
        <v>20.350000000000001</v>
      </c>
    </row>
    <row r="172" spans="1:5" x14ac:dyDescent="0.5">
      <c r="A172" s="3">
        <v>43452</v>
      </c>
      <c r="B172">
        <v>23.3</v>
      </c>
      <c r="C172">
        <v>44.1</v>
      </c>
      <c r="E172" s="5">
        <v>23.700000000000003</v>
      </c>
    </row>
    <row r="173" spans="1:5" x14ac:dyDescent="0.5">
      <c r="A173" s="3">
        <v>43453</v>
      </c>
      <c r="B173">
        <v>27.7</v>
      </c>
      <c r="C173">
        <v>42.4</v>
      </c>
      <c r="E173" s="5">
        <v>25.049999999999997</v>
      </c>
    </row>
    <row r="174" spans="1:5" x14ac:dyDescent="0.5">
      <c r="A174" s="3">
        <v>43454</v>
      </c>
      <c r="B174">
        <v>26.5</v>
      </c>
      <c r="C174">
        <v>39.4</v>
      </c>
      <c r="E174" s="5">
        <v>22.950000000000003</v>
      </c>
    </row>
    <row r="175" spans="1:5" x14ac:dyDescent="0.5">
      <c r="A175" s="3">
        <v>43455</v>
      </c>
      <c r="B175">
        <v>27.7</v>
      </c>
      <c r="C175">
        <v>35.5</v>
      </c>
      <c r="E175" s="5">
        <v>21.6</v>
      </c>
    </row>
    <row r="176" spans="1:5" x14ac:dyDescent="0.5">
      <c r="A176" s="3">
        <v>43456</v>
      </c>
      <c r="B176">
        <v>23.1</v>
      </c>
      <c r="C176">
        <v>33.9</v>
      </c>
      <c r="E176" s="5">
        <v>18.5</v>
      </c>
    </row>
    <row r="177" spans="1:5" x14ac:dyDescent="0.5">
      <c r="A177" s="3">
        <v>43457</v>
      </c>
      <c r="B177">
        <v>16.899999999999999</v>
      </c>
      <c r="C177">
        <v>34.700000000000003</v>
      </c>
      <c r="E177" s="5">
        <v>15.8</v>
      </c>
    </row>
    <row r="178" spans="1:5" x14ac:dyDescent="0.5">
      <c r="A178" s="3">
        <v>43458</v>
      </c>
      <c r="B178">
        <v>14.9</v>
      </c>
      <c r="C178">
        <v>37.9</v>
      </c>
      <c r="E178" s="5">
        <v>16.399999999999999</v>
      </c>
    </row>
    <row r="179" spans="1:5" x14ac:dyDescent="0.5">
      <c r="A179" s="3">
        <v>43459</v>
      </c>
      <c r="B179">
        <v>16.5</v>
      </c>
      <c r="C179">
        <v>40.700000000000003</v>
      </c>
      <c r="E179" s="5">
        <v>18.600000000000001</v>
      </c>
    </row>
    <row r="180" spans="1:5" x14ac:dyDescent="0.5">
      <c r="A180" s="3">
        <v>43460</v>
      </c>
      <c r="B180">
        <v>22.3</v>
      </c>
      <c r="C180">
        <v>41.9</v>
      </c>
      <c r="E180" s="5">
        <v>22.1</v>
      </c>
    </row>
    <row r="181" spans="1:5" x14ac:dyDescent="0.5">
      <c r="A181" s="3">
        <v>43461</v>
      </c>
      <c r="B181">
        <v>22.9</v>
      </c>
      <c r="C181">
        <v>44</v>
      </c>
      <c r="E181" s="5">
        <v>23.450000000000003</v>
      </c>
    </row>
    <row r="182" spans="1:5" x14ac:dyDescent="0.5">
      <c r="A182" s="3">
        <v>43462</v>
      </c>
      <c r="B182">
        <v>28.9</v>
      </c>
      <c r="C182">
        <v>43.7</v>
      </c>
      <c r="E182" s="5">
        <v>26.299999999999997</v>
      </c>
    </row>
    <row r="183" spans="1:5" x14ac:dyDescent="0.5">
      <c r="A183" s="3">
        <v>43463</v>
      </c>
      <c r="B183">
        <v>27.3</v>
      </c>
      <c r="C183">
        <v>45.6</v>
      </c>
      <c r="E183" s="5">
        <v>26.450000000000003</v>
      </c>
    </row>
    <row r="184" spans="1:5" x14ac:dyDescent="0.5">
      <c r="A184" s="3">
        <v>43464</v>
      </c>
      <c r="B184">
        <v>28.6</v>
      </c>
      <c r="C184">
        <v>44.4</v>
      </c>
      <c r="E184" s="5">
        <v>26.5</v>
      </c>
    </row>
    <row r="185" spans="1:5" x14ac:dyDescent="0.5">
      <c r="A185" s="3">
        <v>43465</v>
      </c>
      <c r="B185">
        <v>25.8</v>
      </c>
      <c r="C185">
        <v>45.1</v>
      </c>
      <c r="E185" s="5">
        <v>25.450000000000003</v>
      </c>
    </row>
    <row r="186" spans="1:5" x14ac:dyDescent="0.5">
      <c r="A186" s="3">
        <v>43466</v>
      </c>
      <c r="B186">
        <v>26.6</v>
      </c>
      <c r="C186">
        <v>43.5</v>
      </c>
      <c r="E186" s="5">
        <v>25.049999999999997</v>
      </c>
    </row>
    <row r="187" spans="1:5" x14ac:dyDescent="0.5">
      <c r="A187" s="3">
        <v>43467</v>
      </c>
      <c r="B187">
        <v>24</v>
      </c>
      <c r="C187">
        <v>43.3</v>
      </c>
      <c r="E187" s="5">
        <v>23.65</v>
      </c>
    </row>
    <row r="188" spans="1:5" x14ac:dyDescent="0.5">
      <c r="A188" s="3">
        <v>43468</v>
      </c>
      <c r="B188">
        <v>27.9</v>
      </c>
      <c r="C188">
        <v>45.6</v>
      </c>
      <c r="E188" s="5">
        <v>26.75</v>
      </c>
    </row>
    <row r="189" spans="1:5" x14ac:dyDescent="0.5">
      <c r="A189" s="3">
        <v>43469</v>
      </c>
      <c r="B189">
        <v>26.4</v>
      </c>
      <c r="C189">
        <v>45.1</v>
      </c>
      <c r="E189" s="5">
        <v>25.75</v>
      </c>
    </row>
    <row r="190" spans="1:5" x14ac:dyDescent="0.5">
      <c r="A190" s="3">
        <v>43470</v>
      </c>
      <c r="B190">
        <v>28.6</v>
      </c>
      <c r="C190">
        <v>38.4</v>
      </c>
      <c r="E190" s="5">
        <v>23.5</v>
      </c>
    </row>
    <row r="191" spans="1:5" x14ac:dyDescent="0.5">
      <c r="A191" s="3">
        <v>43471</v>
      </c>
      <c r="B191">
        <v>21.4</v>
      </c>
      <c r="C191">
        <v>36</v>
      </c>
      <c r="E191" s="5">
        <v>18.7</v>
      </c>
    </row>
    <row r="192" spans="1:5" x14ac:dyDescent="0.5">
      <c r="A192" s="3">
        <v>43472</v>
      </c>
      <c r="B192">
        <v>20.3</v>
      </c>
      <c r="C192">
        <v>37.299999999999997</v>
      </c>
      <c r="E192" s="5">
        <v>18.799999999999997</v>
      </c>
    </row>
    <row r="193" spans="1:5" x14ac:dyDescent="0.5">
      <c r="A193" s="3">
        <v>43473</v>
      </c>
      <c r="B193">
        <v>17.8</v>
      </c>
      <c r="C193">
        <v>37.9</v>
      </c>
      <c r="E193" s="5">
        <v>17.850000000000001</v>
      </c>
    </row>
    <row r="194" spans="1:5" x14ac:dyDescent="0.5">
      <c r="A194" s="3">
        <v>43474</v>
      </c>
      <c r="B194">
        <v>18.3</v>
      </c>
      <c r="C194">
        <v>37.799999999999997</v>
      </c>
      <c r="E194" s="5">
        <v>18.049999999999997</v>
      </c>
    </row>
    <row r="195" spans="1:5" x14ac:dyDescent="0.5">
      <c r="A195" s="3">
        <v>43475</v>
      </c>
      <c r="B195">
        <v>18.5</v>
      </c>
      <c r="C195">
        <v>39.4</v>
      </c>
      <c r="E195" s="5">
        <v>18.95</v>
      </c>
    </row>
    <row r="196" spans="1:5" x14ac:dyDescent="0.5">
      <c r="A196" s="3">
        <v>43476</v>
      </c>
      <c r="B196">
        <v>22</v>
      </c>
      <c r="C196">
        <v>42.7</v>
      </c>
      <c r="E196" s="5">
        <v>22.35</v>
      </c>
    </row>
    <row r="197" spans="1:5" x14ac:dyDescent="0.5">
      <c r="A197" s="3">
        <v>43477</v>
      </c>
      <c r="B197">
        <v>25.2</v>
      </c>
      <c r="C197">
        <v>44.4</v>
      </c>
      <c r="E197" s="5">
        <v>24.799999999999997</v>
      </c>
    </row>
    <row r="198" spans="1:5" x14ac:dyDescent="0.5">
      <c r="A198" s="3">
        <v>43478</v>
      </c>
      <c r="B198">
        <v>23.8</v>
      </c>
      <c r="C198">
        <v>43.3</v>
      </c>
      <c r="E198" s="5">
        <v>23.549999999999997</v>
      </c>
    </row>
    <row r="199" spans="1:5" x14ac:dyDescent="0.5">
      <c r="A199" s="3">
        <v>43479</v>
      </c>
      <c r="B199">
        <v>25.1</v>
      </c>
      <c r="C199">
        <v>43.6</v>
      </c>
      <c r="E199" s="5">
        <v>24.35</v>
      </c>
    </row>
    <row r="200" spans="1:5" x14ac:dyDescent="0.5">
      <c r="A200" s="3">
        <v>43480</v>
      </c>
      <c r="B200">
        <v>25.2</v>
      </c>
      <c r="C200">
        <v>44.1</v>
      </c>
      <c r="E200" s="5">
        <v>24.65</v>
      </c>
    </row>
    <row r="201" spans="1:5" x14ac:dyDescent="0.5">
      <c r="A201" s="3">
        <v>43481</v>
      </c>
      <c r="B201">
        <v>27.9</v>
      </c>
      <c r="C201">
        <v>44.1</v>
      </c>
      <c r="E201" s="5">
        <v>26</v>
      </c>
    </row>
    <row r="202" spans="1:5" x14ac:dyDescent="0.5">
      <c r="A202" s="3">
        <v>43482</v>
      </c>
      <c r="B202">
        <v>30.4</v>
      </c>
      <c r="C202">
        <v>42.4</v>
      </c>
      <c r="E202" s="5">
        <v>26.4</v>
      </c>
    </row>
    <row r="203" spans="1:5" x14ac:dyDescent="0.5">
      <c r="A203" s="3">
        <v>43483</v>
      </c>
      <c r="B203">
        <v>26.2</v>
      </c>
      <c r="C203">
        <v>42.7</v>
      </c>
      <c r="E203" s="5">
        <v>24.450000000000003</v>
      </c>
    </row>
    <row r="204" spans="1:5" x14ac:dyDescent="0.5">
      <c r="A204" s="3">
        <v>43484</v>
      </c>
      <c r="B204">
        <v>27.5</v>
      </c>
      <c r="C204">
        <v>42.8</v>
      </c>
      <c r="E204" s="5">
        <v>25.15</v>
      </c>
    </row>
    <row r="205" spans="1:5" x14ac:dyDescent="0.5">
      <c r="A205" s="3">
        <v>43485</v>
      </c>
      <c r="B205">
        <v>25.8</v>
      </c>
      <c r="C205">
        <v>43.4</v>
      </c>
      <c r="E205" s="5">
        <v>24.6</v>
      </c>
    </row>
    <row r="206" spans="1:5" x14ac:dyDescent="0.5">
      <c r="A206" s="3">
        <v>43486</v>
      </c>
      <c r="B206">
        <v>25.6</v>
      </c>
      <c r="C206">
        <v>43.1</v>
      </c>
      <c r="E206" s="5">
        <v>24.35</v>
      </c>
    </row>
    <row r="207" spans="1:5" x14ac:dyDescent="0.5">
      <c r="A207" s="3">
        <v>43487</v>
      </c>
      <c r="B207">
        <v>26.9</v>
      </c>
      <c r="C207">
        <v>43.4</v>
      </c>
      <c r="E207" s="5">
        <v>25.15</v>
      </c>
    </row>
    <row r="208" spans="1:5" x14ac:dyDescent="0.5">
      <c r="A208" s="3">
        <v>43488</v>
      </c>
      <c r="B208">
        <v>26.5</v>
      </c>
      <c r="C208">
        <v>43.5</v>
      </c>
      <c r="E208" s="5">
        <v>25</v>
      </c>
    </row>
    <row r="209" spans="1:5" x14ac:dyDescent="0.5">
      <c r="A209" s="3">
        <v>43489</v>
      </c>
      <c r="B209">
        <v>27.9</v>
      </c>
      <c r="C209">
        <v>44.6</v>
      </c>
      <c r="E209" s="5">
        <v>26.25</v>
      </c>
    </row>
    <row r="210" spans="1:5" x14ac:dyDescent="0.5">
      <c r="A210" s="3">
        <v>43490</v>
      </c>
      <c r="B210">
        <v>30.1</v>
      </c>
      <c r="C210">
        <v>42.9</v>
      </c>
      <c r="E210" s="5">
        <v>26.5</v>
      </c>
    </row>
    <row r="211" spans="1:5" x14ac:dyDescent="0.5">
      <c r="A211" s="3">
        <v>43491</v>
      </c>
      <c r="B211">
        <v>27.2</v>
      </c>
      <c r="C211">
        <v>42.5</v>
      </c>
      <c r="E211" s="5">
        <v>24.85</v>
      </c>
    </row>
    <row r="212" spans="1:5" x14ac:dyDescent="0.5">
      <c r="A212" s="3">
        <v>43492</v>
      </c>
      <c r="B212">
        <v>27.5</v>
      </c>
      <c r="C212">
        <v>34.799999999999997</v>
      </c>
      <c r="E212" s="5">
        <v>21.15</v>
      </c>
    </row>
    <row r="213" spans="1:5" x14ac:dyDescent="0.5">
      <c r="A213" s="3">
        <v>43493</v>
      </c>
      <c r="B213">
        <v>20.6</v>
      </c>
      <c r="C213">
        <v>35</v>
      </c>
      <c r="E213" s="5">
        <v>17.8</v>
      </c>
    </row>
    <row r="214" spans="1:5" x14ac:dyDescent="0.5">
      <c r="A214" s="3">
        <v>43494</v>
      </c>
      <c r="B214">
        <v>23.3</v>
      </c>
      <c r="C214">
        <v>38.700000000000003</v>
      </c>
      <c r="E214" s="5">
        <v>21</v>
      </c>
    </row>
    <row r="215" spans="1:5" x14ac:dyDescent="0.5">
      <c r="A215" s="3">
        <v>43495</v>
      </c>
      <c r="B215">
        <v>25.9</v>
      </c>
      <c r="C215">
        <v>41.2</v>
      </c>
      <c r="E215" s="5">
        <v>23.549999999999997</v>
      </c>
    </row>
    <row r="216" spans="1:5" x14ac:dyDescent="0.5">
      <c r="A216" s="3">
        <v>43496</v>
      </c>
      <c r="B216">
        <v>24.5</v>
      </c>
      <c r="C216">
        <v>40.299999999999997</v>
      </c>
      <c r="E216" s="5">
        <v>22.4</v>
      </c>
    </row>
    <row r="217" spans="1:5" x14ac:dyDescent="0.5">
      <c r="A217" s="3">
        <v>43497</v>
      </c>
      <c r="B217">
        <v>27.6</v>
      </c>
      <c r="C217">
        <v>37.799999999999997</v>
      </c>
      <c r="E217" s="5">
        <v>22.700000000000003</v>
      </c>
    </row>
    <row r="218" spans="1:5" x14ac:dyDescent="0.5">
      <c r="A218" s="3">
        <v>43498</v>
      </c>
      <c r="B218">
        <v>23.5</v>
      </c>
      <c r="C218">
        <v>34.9</v>
      </c>
      <c r="E218" s="5">
        <v>19.2</v>
      </c>
    </row>
    <row r="219" spans="1:5" x14ac:dyDescent="0.5">
      <c r="A219" s="3">
        <v>43499</v>
      </c>
      <c r="B219">
        <v>23.9</v>
      </c>
      <c r="C219">
        <v>36.6</v>
      </c>
      <c r="E219" s="5">
        <v>20.25</v>
      </c>
    </row>
    <row r="220" spans="1:5" x14ac:dyDescent="0.5">
      <c r="A220" s="3">
        <v>43500</v>
      </c>
      <c r="B220">
        <v>22.1</v>
      </c>
      <c r="C220">
        <v>38.700000000000003</v>
      </c>
      <c r="E220" s="5">
        <v>20.400000000000002</v>
      </c>
    </row>
    <row r="221" spans="1:5" x14ac:dyDescent="0.5">
      <c r="A221" s="3">
        <v>43501</v>
      </c>
      <c r="B221">
        <v>25.5</v>
      </c>
      <c r="C221">
        <v>40</v>
      </c>
      <c r="E221" s="5">
        <v>22.75</v>
      </c>
    </row>
    <row r="222" spans="1:5" x14ac:dyDescent="0.5">
      <c r="A222" s="3">
        <v>43502</v>
      </c>
      <c r="B222">
        <v>26.2</v>
      </c>
      <c r="C222">
        <v>40.200000000000003</v>
      </c>
      <c r="E222" s="5">
        <v>23.200000000000003</v>
      </c>
    </row>
    <row r="223" spans="1:5" x14ac:dyDescent="0.5">
      <c r="A223" s="3">
        <v>43503</v>
      </c>
      <c r="B223">
        <v>24</v>
      </c>
      <c r="C223">
        <v>40.5</v>
      </c>
      <c r="E223" s="5">
        <v>22.25</v>
      </c>
    </row>
    <row r="224" spans="1:5" x14ac:dyDescent="0.5">
      <c r="A224" s="3">
        <v>43504</v>
      </c>
      <c r="B224">
        <v>27.2</v>
      </c>
      <c r="C224">
        <v>37</v>
      </c>
      <c r="E224" s="5">
        <v>22.1</v>
      </c>
    </row>
    <row r="225" spans="1:5" x14ac:dyDescent="0.5">
      <c r="A225" s="3">
        <v>43505</v>
      </c>
      <c r="B225">
        <v>21</v>
      </c>
      <c r="C225">
        <v>32.5</v>
      </c>
      <c r="E225" s="5">
        <v>16.75</v>
      </c>
    </row>
    <row r="226" spans="1:5" x14ac:dyDescent="0.5">
      <c r="A226" s="3">
        <v>43506</v>
      </c>
      <c r="B226">
        <v>14.7</v>
      </c>
      <c r="C226">
        <v>34.6</v>
      </c>
      <c r="E226" s="5">
        <v>14.649999999999999</v>
      </c>
    </row>
    <row r="227" spans="1:5" x14ac:dyDescent="0.5">
      <c r="A227" s="3">
        <v>43507</v>
      </c>
      <c r="B227">
        <v>17.100000000000001</v>
      </c>
      <c r="C227">
        <v>38.9</v>
      </c>
      <c r="E227" s="5">
        <v>18</v>
      </c>
    </row>
    <row r="228" spans="1:5" x14ac:dyDescent="0.5">
      <c r="A228" s="3">
        <v>43508</v>
      </c>
      <c r="B228">
        <v>18.899999999999999</v>
      </c>
      <c r="C228">
        <v>43</v>
      </c>
      <c r="E228" s="5">
        <v>20.95</v>
      </c>
    </row>
    <row r="229" spans="1:5" x14ac:dyDescent="0.5">
      <c r="A229" s="3">
        <v>43509</v>
      </c>
      <c r="B229">
        <v>25</v>
      </c>
      <c r="C229">
        <v>32.1</v>
      </c>
      <c r="E229" s="5">
        <v>18.55</v>
      </c>
    </row>
    <row r="230" spans="1:5" x14ac:dyDescent="0.5">
      <c r="A230" s="3">
        <v>43510</v>
      </c>
      <c r="B230">
        <v>17.2</v>
      </c>
      <c r="C230">
        <v>32.200000000000003</v>
      </c>
      <c r="E230" s="5">
        <v>14.700000000000003</v>
      </c>
    </row>
    <row r="231" spans="1:5" x14ac:dyDescent="0.5">
      <c r="A231" s="3">
        <v>43511</v>
      </c>
      <c r="B231">
        <v>13.6</v>
      </c>
      <c r="C231">
        <v>33.6</v>
      </c>
      <c r="E231" s="5">
        <v>13.600000000000001</v>
      </c>
    </row>
    <row r="232" spans="1:5" x14ac:dyDescent="0.5">
      <c r="A232" s="3">
        <v>43512</v>
      </c>
      <c r="B232">
        <v>14.1</v>
      </c>
      <c r="C232">
        <v>35.5</v>
      </c>
      <c r="E232" s="5">
        <v>14.8</v>
      </c>
    </row>
    <row r="233" spans="1:5" x14ac:dyDescent="0.5">
      <c r="A233" s="3">
        <v>43513</v>
      </c>
      <c r="B233">
        <v>15.7</v>
      </c>
      <c r="C233">
        <v>39.1</v>
      </c>
      <c r="E233" s="5">
        <v>17.399999999999999</v>
      </c>
    </row>
    <row r="234" spans="1:5" x14ac:dyDescent="0.5">
      <c r="A234" s="3">
        <v>43514</v>
      </c>
      <c r="B234">
        <v>18.100000000000001</v>
      </c>
      <c r="C234">
        <v>42</v>
      </c>
      <c r="E234" s="5">
        <v>20.05</v>
      </c>
    </row>
    <row r="235" spans="1:5" x14ac:dyDescent="0.5">
      <c r="A235" s="3">
        <v>43515</v>
      </c>
      <c r="B235">
        <v>21.2</v>
      </c>
      <c r="C235">
        <v>40.9</v>
      </c>
      <c r="E235" s="5">
        <v>21.049999999999997</v>
      </c>
    </row>
    <row r="236" spans="1:5" x14ac:dyDescent="0.5">
      <c r="A236" s="3">
        <v>43516</v>
      </c>
      <c r="B236">
        <v>22.9</v>
      </c>
      <c r="C236">
        <v>38.1</v>
      </c>
      <c r="E236" s="5">
        <v>20.5</v>
      </c>
    </row>
    <row r="237" spans="1:5" x14ac:dyDescent="0.5">
      <c r="A237" s="3">
        <v>43517</v>
      </c>
      <c r="B237">
        <v>20</v>
      </c>
      <c r="C237">
        <v>36.299999999999997</v>
      </c>
      <c r="E237" s="5">
        <v>18.149999999999999</v>
      </c>
    </row>
    <row r="238" spans="1:5" x14ac:dyDescent="0.5">
      <c r="A238" s="3">
        <v>43518</v>
      </c>
      <c r="B238">
        <v>17.899999999999999</v>
      </c>
      <c r="C238">
        <v>35.700000000000003</v>
      </c>
      <c r="E238" s="5">
        <v>16.8</v>
      </c>
    </row>
    <row r="239" spans="1:5" x14ac:dyDescent="0.5">
      <c r="A239" s="3">
        <v>43519</v>
      </c>
      <c r="B239">
        <v>15.6</v>
      </c>
      <c r="C239">
        <v>37.700000000000003</v>
      </c>
      <c r="E239" s="5">
        <v>16.650000000000002</v>
      </c>
    </row>
    <row r="240" spans="1:5" x14ac:dyDescent="0.5">
      <c r="A240" s="3">
        <v>43520</v>
      </c>
      <c r="B240">
        <v>20.100000000000001</v>
      </c>
      <c r="C240">
        <v>38.4</v>
      </c>
      <c r="E240" s="5">
        <v>19.25</v>
      </c>
    </row>
    <row r="241" spans="1:5" x14ac:dyDescent="0.5">
      <c r="A241" s="3">
        <v>43521</v>
      </c>
      <c r="B241">
        <v>21.8</v>
      </c>
      <c r="C241">
        <v>39.1</v>
      </c>
      <c r="E241" s="5">
        <v>20.450000000000003</v>
      </c>
    </row>
    <row r="242" spans="1:5" x14ac:dyDescent="0.5">
      <c r="A242" s="3">
        <v>43522</v>
      </c>
      <c r="B242">
        <v>21.1</v>
      </c>
      <c r="C242">
        <v>38.200000000000003</v>
      </c>
      <c r="E242" s="5">
        <v>19.650000000000002</v>
      </c>
    </row>
    <row r="243" spans="1:5" x14ac:dyDescent="0.5">
      <c r="A243" s="3">
        <v>43523</v>
      </c>
      <c r="B243">
        <v>20.3</v>
      </c>
      <c r="C243">
        <v>38.299999999999997</v>
      </c>
      <c r="E243" s="5">
        <v>19.299999999999997</v>
      </c>
    </row>
    <row r="244" spans="1:5" x14ac:dyDescent="0.5">
      <c r="A244" s="3">
        <v>43524</v>
      </c>
      <c r="B244">
        <v>19.7</v>
      </c>
      <c r="C244">
        <v>39</v>
      </c>
      <c r="E244" s="5">
        <v>19.350000000000001</v>
      </c>
    </row>
    <row r="245" spans="1:5" x14ac:dyDescent="0.5">
      <c r="A245" s="3">
        <v>43525</v>
      </c>
      <c r="B245">
        <v>22.7</v>
      </c>
      <c r="C245">
        <v>39.200000000000003</v>
      </c>
      <c r="E245" s="5">
        <v>20.950000000000003</v>
      </c>
    </row>
    <row r="246" spans="1:5" x14ac:dyDescent="0.5">
      <c r="A246" s="3">
        <v>43526</v>
      </c>
      <c r="B246">
        <v>22.5</v>
      </c>
      <c r="C246">
        <v>39.6</v>
      </c>
      <c r="E246" s="5">
        <v>21.05</v>
      </c>
    </row>
    <row r="247" spans="1:5" x14ac:dyDescent="0.5">
      <c r="A247" s="3">
        <v>43527</v>
      </c>
      <c r="B247">
        <v>21.7</v>
      </c>
      <c r="C247">
        <v>39.1</v>
      </c>
      <c r="E247" s="5">
        <v>20.399999999999999</v>
      </c>
    </row>
    <row r="248" spans="1:5" x14ac:dyDescent="0.5">
      <c r="A248" s="3">
        <v>43528</v>
      </c>
      <c r="B248">
        <v>20.3</v>
      </c>
      <c r="C248">
        <v>37.700000000000003</v>
      </c>
      <c r="E248" s="5">
        <v>19</v>
      </c>
    </row>
    <row r="249" spans="1:5" x14ac:dyDescent="0.5">
      <c r="A249" s="3">
        <v>43529</v>
      </c>
      <c r="B249">
        <v>19.899999999999999</v>
      </c>
      <c r="C249">
        <v>38.700000000000003</v>
      </c>
      <c r="E249" s="5">
        <v>19.3</v>
      </c>
    </row>
    <row r="250" spans="1:5" x14ac:dyDescent="0.5">
      <c r="A250" s="3">
        <v>43530</v>
      </c>
      <c r="B250">
        <v>20.6</v>
      </c>
      <c r="C250">
        <v>34.9</v>
      </c>
      <c r="E250" s="5">
        <v>17.75</v>
      </c>
    </row>
    <row r="251" spans="1:5" x14ac:dyDescent="0.5">
      <c r="A251" s="3">
        <v>43531</v>
      </c>
      <c r="B251">
        <v>19.600000000000001</v>
      </c>
      <c r="C251">
        <v>36.1</v>
      </c>
      <c r="E251" s="5">
        <v>17.850000000000001</v>
      </c>
    </row>
    <row r="252" spans="1:5" x14ac:dyDescent="0.5">
      <c r="A252" s="3">
        <v>43532</v>
      </c>
      <c r="B252">
        <v>18</v>
      </c>
      <c r="C252">
        <v>37.6</v>
      </c>
      <c r="E252" s="5">
        <v>17.8</v>
      </c>
    </row>
    <row r="253" spans="1:5" x14ac:dyDescent="0.5">
      <c r="A253" s="3">
        <v>43533</v>
      </c>
      <c r="B253">
        <v>16.399999999999999</v>
      </c>
      <c r="C253">
        <v>39.799999999999997</v>
      </c>
      <c r="E253" s="5">
        <v>18.099999999999998</v>
      </c>
    </row>
    <row r="254" spans="1:5" x14ac:dyDescent="0.5">
      <c r="A254" s="3">
        <v>43534</v>
      </c>
      <c r="B254">
        <v>20.399999999999999</v>
      </c>
      <c r="C254">
        <v>41.1</v>
      </c>
      <c r="E254" s="5">
        <v>20.75</v>
      </c>
    </row>
    <row r="255" spans="1:5" x14ac:dyDescent="0.5">
      <c r="A255" s="3">
        <v>43535</v>
      </c>
      <c r="B255">
        <v>22.8</v>
      </c>
      <c r="C255">
        <v>42.7</v>
      </c>
      <c r="E255" s="5">
        <v>22.75</v>
      </c>
    </row>
    <row r="256" spans="1:5" x14ac:dyDescent="0.5">
      <c r="A256" s="3">
        <v>43536</v>
      </c>
      <c r="B256">
        <v>27.6</v>
      </c>
      <c r="C256">
        <v>40.9</v>
      </c>
      <c r="E256" s="5">
        <v>24.25</v>
      </c>
    </row>
    <row r="257" spans="1:5" x14ac:dyDescent="0.5">
      <c r="A257" s="3">
        <v>43537</v>
      </c>
      <c r="B257">
        <v>23</v>
      </c>
      <c r="C257">
        <v>38.799999999999997</v>
      </c>
      <c r="E257" s="5">
        <v>20.9</v>
      </c>
    </row>
    <row r="258" spans="1:5" x14ac:dyDescent="0.5">
      <c r="A258" s="3">
        <v>43538</v>
      </c>
      <c r="B258">
        <v>22.4</v>
      </c>
      <c r="C258">
        <v>38.299999999999997</v>
      </c>
      <c r="E258" s="5">
        <v>20.349999999999998</v>
      </c>
    </row>
    <row r="259" spans="1:5" x14ac:dyDescent="0.5">
      <c r="A259" s="3">
        <v>43539</v>
      </c>
      <c r="B259">
        <v>22.5</v>
      </c>
      <c r="C259">
        <v>35.799999999999997</v>
      </c>
      <c r="E259" s="5">
        <v>19.149999999999999</v>
      </c>
    </row>
    <row r="260" spans="1:5" x14ac:dyDescent="0.5">
      <c r="A260" s="3">
        <v>43540</v>
      </c>
      <c r="B260">
        <v>17.399999999999999</v>
      </c>
      <c r="C260">
        <v>36.6</v>
      </c>
      <c r="E260" s="5">
        <v>17</v>
      </c>
    </row>
    <row r="261" spans="1:5" x14ac:dyDescent="0.5">
      <c r="A261" s="3">
        <v>43541</v>
      </c>
      <c r="B261">
        <v>17.399999999999999</v>
      </c>
      <c r="C261">
        <v>36.4</v>
      </c>
      <c r="E261" s="5">
        <v>16.899999999999999</v>
      </c>
    </row>
    <row r="262" spans="1:5" x14ac:dyDescent="0.5">
      <c r="A262" s="3">
        <v>43542</v>
      </c>
      <c r="B262">
        <v>15.1</v>
      </c>
      <c r="C262">
        <v>37.200000000000003</v>
      </c>
      <c r="E262" s="5">
        <v>16.150000000000002</v>
      </c>
    </row>
    <row r="263" spans="1:5" x14ac:dyDescent="0.5">
      <c r="A263" s="3">
        <v>43543</v>
      </c>
      <c r="B263">
        <v>17.7</v>
      </c>
      <c r="C263">
        <v>37.1</v>
      </c>
      <c r="E263" s="5">
        <v>17.399999999999999</v>
      </c>
    </row>
    <row r="264" spans="1:5" x14ac:dyDescent="0.5">
      <c r="A264" s="3">
        <v>43544</v>
      </c>
      <c r="B264">
        <v>19.100000000000001</v>
      </c>
      <c r="C264">
        <v>37.9</v>
      </c>
      <c r="E264" s="5">
        <v>18.5</v>
      </c>
    </row>
    <row r="265" spans="1:5" x14ac:dyDescent="0.5">
      <c r="A265" s="3">
        <v>43545</v>
      </c>
      <c r="B265">
        <v>18.899999999999999</v>
      </c>
      <c r="C265">
        <v>38.4</v>
      </c>
      <c r="E265" s="5">
        <v>18.649999999999999</v>
      </c>
    </row>
    <row r="266" spans="1:5" x14ac:dyDescent="0.5">
      <c r="A266" s="3">
        <v>43546</v>
      </c>
      <c r="B266">
        <v>18.7</v>
      </c>
      <c r="C266">
        <v>39.200000000000003</v>
      </c>
      <c r="E266" s="5">
        <v>18.950000000000003</v>
      </c>
    </row>
    <row r="267" spans="1:5" x14ac:dyDescent="0.5">
      <c r="A267" s="3">
        <v>43547</v>
      </c>
      <c r="B267">
        <v>20.6</v>
      </c>
      <c r="C267">
        <v>39.5</v>
      </c>
      <c r="E267" s="5">
        <v>20.05</v>
      </c>
    </row>
    <row r="268" spans="1:5" x14ac:dyDescent="0.5">
      <c r="A268" s="3">
        <v>43548</v>
      </c>
      <c r="B268">
        <v>27.6</v>
      </c>
      <c r="C268">
        <v>35.4</v>
      </c>
      <c r="E268" s="5">
        <v>21.5</v>
      </c>
    </row>
    <row r="269" spans="1:5" x14ac:dyDescent="0.5">
      <c r="A269" s="3">
        <v>43549</v>
      </c>
      <c r="B269">
        <v>24</v>
      </c>
      <c r="C269">
        <v>28.4</v>
      </c>
      <c r="E269" s="5">
        <v>16.2</v>
      </c>
    </row>
    <row r="270" spans="1:5" x14ac:dyDescent="0.5">
      <c r="A270" s="3">
        <v>43550</v>
      </c>
      <c r="B270">
        <v>18.7</v>
      </c>
      <c r="C270">
        <v>29.4</v>
      </c>
      <c r="E270" s="5">
        <v>14.049999999999997</v>
      </c>
    </row>
    <row r="271" spans="1:5" x14ac:dyDescent="0.5">
      <c r="A271" s="3">
        <v>43551</v>
      </c>
      <c r="B271">
        <v>12</v>
      </c>
      <c r="C271">
        <v>29.8</v>
      </c>
      <c r="E271" s="5">
        <v>10.899999999999999</v>
      </c>
    </row>
    <row r="272" spans="1:5" x14ac:dyDescent="0.5">
      <c r="A272" s="3">
        <v>43552</v>
      </c>
      <c r="B272">
        <v>12.3</v>
      </c>
      <c r="C272">
        <v>31.2</v>
      </c>
      <c r="E272" s="5">
        <v>11.75</v>
      </c>
    </row>
    <row r="273" spans="1:5" x14ac:dyDescent="0.5">
      <c r="A273" s="3">
        <v>43553</v>
      </c>
      <c r="B273">
        <v>12.9</v>
      </c>
      <c r="C273">
        <v>34.700000000000003</v>
      </c>
      <c r="E273" s="5">
        <v>13.8</v>
      </c>
    </row>
    <row r="274" spans="1:5" x14ac:dyDescent="0.5">
      <c r="A274" s="3">
        <v>43554</v>
      </c>
      <c r="B274">
        <v>17.600000000000001</v>
      </c>
      <c r="C274">
        <v>26.2</v>
      </c>
      <c r="E274" s="5">
        <v>11.899999999999999</v>
      </c>
    </row>
    <row r="275" spans="1:5" x14ac:dyDescent="0.5">
      <c r="A275" s="3">
        <v>43555</v>
      </c>
      <c r="B275">
        <v>8.1</v>
      </c>
      <c r="C275">
        <v>25.9</v>
      </c>
      <c r="E275" s="5">
        <v>7.9499999999999993</v>
      </c>
    </row>
    <row r="276" spans="1:5" x14ac:dyDescent="0.5">
      <c r="A276" s="3">
        <v>43556</v>
      </c>
      <c r="B276">
        <v>8.9</v>
      </c>
      <c r="C276">
        <v>27.8</v>
      </c>
      <c r="E276" s="5">
        <v>8.8999999999999986</v>
      </c>
    </row>
    <row r="277" spans="1:5" x14ac:dyDescent="0.5">
      <c r="A277" s="3">
        <v>43557</v>
      </c>
      <c r="B277">
        <v>8.9</v>
      </c>
      <c r="C277">
        <v>30</v>
      </c>
      <c r="E277" s="5">
        <v>10</v>
      </c>
    </row>
    <row r="278" spans="1:5" x14ac:dyDescent="0.5">
      <c r="A278" s="3">
        <v>43558</v>
      </c>
      <c r="B278">
        <v>9.3000000000000007</v>
      </c>
      <c r="C278">
        <v>30.4</v>
      </c>
      <c r="E278" s="5">
        <v>10.199999999999999</v>
      </c>
    </row>
    <row r="279" spans="1:5" x14ac:dyDescent="0.5">
      <c r="A279" s="3">
        <v>43559</v>
      </c>
      <c r="B279">
        <v>10.9</v>
      </c>
      <c r="C279">
        <v>32.5</v>
      </c>
      <c r="E279" s="5">
        <v>11.7</v>
      </c>
    </row>
    <row r="280" spans="1:5" x14ac:dyDescent="0.5">
      <c r="A280" s="3">
        <v>43560</v>
      </c>
      <c r="B280">
        <v>13.4</v>
      </c>
      <c r="C280">
        <v>33.4</v>
      </c>
      <c r="E280" s="5">
        <v>13.399999999999999</v>
      </c>
    </row>
    <row r="281" spans="1:5" x14ac:dyDescent="0.5">
      <c r="A281" s="3">
        <v>43561</v>
      </c>
      <c r="B281">
        <v>14.7</v>
      </c>
      <c r="C281">
        <v>33.6</v>
      </c>
      <c r="E281" s="5">
        <v>14.149999999999999</v>
      </c>
    </row>
    <row r="282" spans="1:5" x14ac:dyDescent="0.5">
      <c r="A282" s="3">
        <v>43562</v>
      </c>
      <c r="B282">
        <v>15.2</v>
      </c>
      <c r="C282">
        <v>33.9</v>
      </c>
      <c r="E282" s="5">
        <v>14.549999999999997</v>
      </c>
    </row>
    <row r="283" spans="1:5" x14ac:dyDescent="0.5">
      <c r="A283" s="3">
        <v>43563</v>
      </c>
      <c r="B283">
        <v>15.8</v>
      </c>
      <c r="C283">
        <v>34.200000000000003</v>
      </c>
      <c r="E283" s="5">
        <v>15</v>
      </c>
    </row>
    <row r="284" spans="1:5" x14ac:dyDescent="0.5">
      <c r="A284" s="3">
        <v>43564</v>
      </c>
      <c r="B284">
        <v>16.2</v>
      </c>
      <c r="C284">
        <v>35</v>
      </c>
      <c r="E284" s="5">
        <v>15.600000000000001</v>
      </c>
    </row>
    <row r="285" spans="1:5" x14ac:dyDescent="0.5">
      <c r="A285" s="3">
        <v>43565</v>
      </c>
      <c r="B285">
        <v>20.2</v>
      </c>
      <c r="C285">
        <v>32.799999999999997</v>
      </c>
      <c r="E285" s="5">
        <v>16.5</v>
      </c>
    </row>
    <row r="286" spans="1:5" x14ac:dyDescent="0.5">
      <c r="A286" s="3">
        <v>43566</v>
      </c>
      <c r="B286">
        <v>13.6</v>
      </c>
      <c r="C286">
        <v>30.5</v>
      </c>
      <c r="E286" s="5">
        <v>12.05</v>
      </c>
    </row>
    <row r="287" spans="1:5" x14ac:dyDescent="0.5">
      <c r="A287" s="3">
        <v>43567</v>
      </c>
      <c r="B287">
        <v>9</v>
      </c>
      <c r="C287">
        <v>28.8</v>
      </c>
      <c r="E287" s="5">
        <v>9.3999999999999986</v>
      </c>
    </row>
    <row r="288" spans="1:5" x14ac:dyDescent="0.5">
      <c r="A288" s="3">
        <v>43568</v>
      </c>
      <c r="B288">
        <v>7.8</v>
      </c>
      <c r="C288">
        <v>32.299999999999997</v>
      </c>
      <c r="E288" s="5">
        <v>11.149999999999999</v>
      </c>
    </row>
    <row r="289" spans="1:5" x14ac:dyDescent="0.5">
      <c r="A289" s="3">
        <v>43569</v>
      </c>
      <c r="B289">
        <v>13.6</v>
      </c>
      <c r="C289">
        <v>32.9</v>
      </c>
      <c r="E289" s="5">
        <v>13.25</v>
      </c>
    </row>
    <row r="290" spans="1:5" x14ac:dyDescent="0.5">
      <c r="A290" s="3">
        <v>43570</v>
      </c>
      <c r="B290">
        <v>13.3</v>
      </c>
      <c r="C290">
        <v>33.299999999999997</v>
      </c>
      <c r="E290" s="5">
        <v>13.299999999999997</v>
      </c>
    </row>
    <row r="291" spans="1:5" x14ac:dyDescent="0.5">
      <c r="A291" s="3">
        <v>43571</v>
      </c>
      <c r="B291">
        <v>14.7</v>
      </c>
      <c r="C291">
        <v>34</v>
      </c>
      <c r="E291" s="5">
        <v>14.350000000000001</v>
      </c>
    </row>
    <row r="292" spans="1:5" x14ac:dyDescent="0.5">
      <c r="A292" s="3">
        <v>43572</v>
      </c>
      <c r="B292">
        <v>13.7</v>
      </c>
      <c r="C292">
        <v>33.9</v>
      </c>
      <c r="E292" s="5">
        <v>13.799999999999997</v>
      </c>
    </row>
    <row r="293" spans="1:5" x14ac:dyDescent="0.5">
      <c r="A293" s="3">
        <v>43573</v>
      </c>
      <c r="B293">
        <v>14</v>
      </c>
      <c r="C293">
        <v>32.799999999999997</v>
      </c>
      <c r="E293" s="5">
        <v>13.399999999999999</v>
      </c>
    </row>
    <row r="294" spans="1:5" x14ac:dyDescent="0.5">
      <c r="A294" s="3">
        <v>43574</v>
      </c>
      <c r="B294">
        <v>10.7</v>
      </c>
      <c r="C294">
        <v>32</v>
      </c>
      <c r="E294" s="5">
        <v>11.350000000000001</v>
      </c>
    </row>
    <row r="295" spans="1:5" x14ac:dyDescent="0.5">
      <c r="A295" s="3">
        <v>43575</v>
      </c>
      <c r="B295">
        <v>13.6</v>
      </c>
      <c r="C295">
        <v>31.8</v>
      </c>
      <c r="E295" s="5">
        <v>12.7</v>
      </c>
    </row>
    <row r="296" spans="1:5" x14ac:dyDescent="0.5">
      <c r="A296" s="3">
        <v>43576</v>
      </c>
      <c r="B296">
        <v>17.2</v>
      </c>
      <c r="C296">
        <v>26.5</v>
      </c>
      <c r="E296" s="5">
        <v>11.850000000000001</v>
      </c>
    </row>
    <row r="297" spans="1:5" x14ac:dyDescent="0.5">
      <c r="A297" s="3">
        <v>43577</v>
      </c>
      <c r="B297">
        <v>12.7</v>
      </c>
      <c r="C297">
        <v>24.5</v>
      </c>
      <c r="E297" s="5">
        <v>8.6000000000000014</v>
      </c>
    </row>
    <row r="298" spans="1:5" x14ac:dyDescent="0.5">
      <c r="A298" s="3">
        <v>43578</v>
      </c>
      <c r="B298">
        <v>8.9</v>
      </c>
      <c r="C298">
        <v>27</v>
      </c>
      <c r="E298" s="5">
        <v>8.5</v>
      </c>
    </row>
    <row r="299" spans="1:5" x14ac:dyDescent="0.5">
      <c r="A299" s="3">
        <v>43579</v>
      </c>
      <c r="B299">
        <v>11.4</v>
      </c>
      <c r="C299">
        <v>27.3</v>
      </c>
      <c r="E299" s="5">
        <v>9.3500000000000014</v>
      </c>
    </row>
    <row r="300" spans="1:5" x14ac:dyDescent="0.5">
      <c r="A300" s="3">
        <v>43580</v>
      </c>
      <c r="B300">
        <v>9.9</v>
      </c>
      <c r="C300">
        <v>26</v>
      </c>
      <c r="E300" s="5">
        <v>8</v>
      </c>
    </row>
    <row r="301" spans="1:5" x14ac:dyDescent="0.5">
      <c r="A301" s="3">
        <v>43581</v>
      </c>
      <c r="B301">
        <v>17.899999999999999</v>
      </c>
      <c r="C301">
        <v>26.7</v>
      </c>
      <c r="E301" s="5">
        <v>12.299999999999997</v>
      </c>
    </row>
    <row r="302" spans="1:5" x14ac:dyDescent="0.5">
      <c r="A302" s="3">
        <v>43582</v>
      </c>
      <c r="B302">
        <v>16.100000000000001</v>
      </c>
      <c r="C302">
        <v>25</v>
      </c>
      <c r="E302" s="5">
        <v>10.55</v>
      </c>
    </row>
    <row r="303" spans="1:5" x14ac:dyDescent="0.5">
      <c r="A303" s="3">
        <v>43583</v>
      </c>
      <c r="B303">
        <v>14</v>
      </c>
      <c r="C303">
        <v>26</v>
      </c>
      <c r="E303" s="5">
        <v>10</v>
      </c>
    </row>
    <row r="304" spans="1:5" x14ac:dyDescent="0.5">
      <c r="A304" s="3">
        <v>43584</v>
      </c>
      <c r="B304">
        <v>11.6</v>
      </c>
      <c r="C304">
        <v>23.9</v>
      </c>
      <c r="E304" s="5">
        <v>7.75</v>
      </c>
    </row>
    <row r="305" spans="1:5" x14ac:dyDescent="0.5">
      <c r="A305" s="3">
        <v>43585</v>
      </c>
      <c r="B305">
        <v>11.8</v>
      </c>
      <c r="C305">
        <v>28.4</v>
      </c>
      <c r="E305" s="5">
        <v>10.100000000000001</v>
      </c>
    </row>
    <row r="306" spans="1:5" x14ac:dyDescent="0.5">
      <c r="A306" s="3">
        <v>43586</v>
      </c>
      <c r="B306">
        <v>13.3</v>
      </c>
      <c r="C306">
        <v>31</v>
      </c>
      <c r="E306" s="5">
        <v>12.149999999999999</v>
      </c>
    </row>
    <row r="307" spans="1:5" x14ac:dyDescent="0.5">
      <c r="A307" s="3">
        <v>43587</v>
      </c>
      <c r="B307">
        <v>16.7</v>
      </c>
      <c r="C307">
        <v>24.4</v>
      </c>
      <c r="E307" s="5">
        <v>10.549999999999997</v>
      </c>
    </row>
    <row r="308" spans="1:5" x14ac:dyDescent="0.5">
      <c r="A308" s="3">
        <v>43588</v>
      </c>
      <c r="B308">
        <v>13.6</v>
      </c>
      <c r="C308">
        <v>24.3</v>
      </c>
      <c r="E308" s="5">
        <v>8.9499999999999993</v>
      </c>
    </row>
    <row r="309" spans="1:5" x14ac:dyDescent="0.5">
      <c r="A309" s="3">
        <v>43589</v>
      </c>
      <c r="B309">
        <v>8.4</v>
      </c>
      <c r="C309">
        <v>23.5</v>
      </c>
      <c r="E309" s="5">
        <v>6.75</v>
      </c>
    </row>
    <row r="310" spans="1:5" x14ac:dyDescent="0.5">
      <c r="A310" s="3">
        <v>43590</v>
      </c>
      <c r="B310">
        <v>5.0999999999999996</v>
      </c>
      <c r="C310">
        <v>23.3</v>
      </c>
      <c r="E310" s="5">
        <v>6.6499999999999986</v>
      </c>
    </row>
    <row r="311" spans="1:5" x14ac:dyDescent="0.5">
      <c r="A311" s="3">
        <v>43591</v>
      </c>
      <c r="B311">
        <v>5</v>
      </c>
      <c r="C311">
        <v>24.4</v>
      </c>
      <c r="E311" s="5">
        <v>7.1999999999999993</v>
      </c>
    </row>
    <row r="312" spans="1:5" x14ac:dyDescent="0.5">
      <c r="A312" s="3">
        <v>43592</v>
      </c>
      <c r="B312">
        <v>5.0999999999999996</v>
      </c>
      <c r="C312">
        <v>28.5</v>
      </c>
      <c r="E312" s="5">
        <v>9.25</v>
      </c>
    </row>
    <row r="313" spans="1:5" x14ac:dyDescent="0.5">
      <c r="A313" s="3">
        <v>43593</v>
      </c>
      <c r="B313">
        <v>8</v>
      </c>
      <c r="C313">
        <v>22.3</v>
      </c>
      <c r="E313" s="5">
        <v>6.1499999999999986</v>
      </c>
    </row>
    <row r="314" spans="1:5" x14ac:dyDescent="0.5">
      <c r="A314" s="3">
        <v>43594</v>
      </c>
      <c r="B314">
        <v>5.0999999999999996</v>
      </c>
      <c r="C314">
        <v>22.8</v>
      </c>
      <c r="E314" s="5">
        <v>6.3999999999999986</v>
      </c>
    </row>
    <row r="315" spans="1:5" x14ac:dyDescent="0.5">
      <c r="A315" s="3">
        <v>43595</v>
      </c>
      <c r="B315">
        <v>7.3</v>
      </c>
      <c r="C315">
        <v>17.100000000000001</v>
      </c>
      <c r="E315" s="5">
        <v>3.5500000000000007</v>
      </c>
    </row>
    <row r="316" spans="1:5" x14ac:dyDescent="0.5">
      <c r="A316" s="3">
        <v>43596</v>
      </c>
      <c r="B316">
        <v>2.5</v>
      </c>
      <c r="C316">
        <v>17.5</v>
      </c>
      <c r="E316" s="5">
        <v>3.75</v>
      </c>
    </row>
    <row r="317" spans="1:5" x14ac:dyDescent="0.5">
      <c r="A317" s="3">
        <v>43597</v>
      </c>
      <c r="B317">
        <v>1</v>
      </c>
      <c r="C317">
        <v>19</v>
      </c>
      <c r="E317" s="5">
        <v>4.5</v>
      </c>
    </row>
    <row r="318" spans="1:5" x14ac:dyDescent="0.5">
      <c r="A318" s="3">
        <v>43598</v>
      </c>
      <c r="B318">
        <v>2.8</v>
      </c>
      <c r="C318">
        <v>22.5</v>
      </c>
      <c r="E318" s="5">
        <v>6.25</v>
      </c>
    </row>
    <row r="319" spans="1:5" x14ac:dyDescent="0.5">
      <c r="A319" s="3">
        <v>43599</v>
      </c>
      <c r="B319">
        <v>2.7</v>
      </c>
      <c r="C319">
        <v>21.8</v>
      </c>
      <c r="E319" s="5">
        <v>5.9</v>
      </c>
    </row>
    <row r="320" spans="1:5" x14ac:dyDescent="0.5">
      <c r="A320" s="3">
        <v>43600</v>
      </c>
      <c r="B320">
        <v>5.4</v>
      </c>
      <c r="C320">
        <f>AVERAGE(C319,C321)</f>
        <v>24.1</v>
      </c>
      <c r="E320" s="5">
        <v>7.0500000000000007</v>
      </c>
    </row>
    <row r="321" spans="1:5" x14ac:dyDescent="0.5">
      <c r="A321" s="3">
        <v>43601</v>
      </c>
      <c r="B321">
        <v>7.5</v>
      </c>
      <c r="C321">
        <v>26.4</v>
      </c>
      <c r="E321" s="5">
        <v>8.1999999999999993</v>
      </c>
    </row>
    <row r="322" spans="1:5" x14ac:dyDescent="0.5">
      <c r="A322" s="3">
        <v>43602</v>
      </c>
      <c r="B322">
        <v>9.9</v>
      </c>
      <c r="C322">
        <v>31.3</v>
      </c>
      <c r="E322" s="5">
        <v>10.649999999999999</v>
      </c>
    </row>
    <row r="323" spans="1:5" x14ac:dyDescent="0.5">
      <c r="A323" s="3">
        <v>43603</v>
      </c>
      <c r="B323">
        <v>18.399999999999999</v>
      </c>
      <c r="C323">
        <v>20.8</v>
      </c>
      <c r="E323" s="5">
        <v>9.6000000000000014</v>
      </c>
    </row>
    <row r="324" spans="1:5" x14ac:dyDescent="0.5">
      <c r="A324" s="3">
        <v>43604</v>
      </c>
      <c r="B324">
        <v>14.1</v>
      </c>
      <c r="C324">
        <v>27</v>
      </c>
      <c r="E324" s="5">
        <v>10.55</v>
      </c>
    </row>
    <row r="325" spans="1:5" x14ac:dyDescent="0.5">
      <c r="A325" s="3">
        <v>43605</v>
      </c>
      <c r="B325">
        <v>14.7</v>
      </c>
      <c r="C325">
        <v>28.5</v>
      </c>
      <c r="E325" s="5">
        <v>11.600000000000001</v>
      </c>
    </row>
    <row r="326" spans="1:5" x14ac:dyDescent="0.5">
      <c r="A326" s="3">
        <v>43606</v>
      </c>
      <c r="B326">
        <v>12.9</v>
      </c>
      <c r="C326">
        <v>28.2</v>
      </c>
      <c r="E326" s="5">
        <v>10.55</v>
      </c>
    </row>
    <row r="327" spans="1:5" x14ac:dyDescent="0.5">
      <c r="A327" s="3">
        <v>43607</v>
      </c>
      <c r="B327">
        <v>10.9</v>
      </c>
      <c r="C327">
        <v>27</v>
      </c>
      <c r="E327" s="5">
        <v>8.9499999999999993</v>
      </c>
    </row>
    <row r="328" spans="1:5" x14ac:dyDescent="0.5">
      <c r="A328" s="3">
        <v>43608</v>
      </c>
      <c r="B328">
        <v>10.1</v>
      </c>
      <c r="C328">
        <v>25.9</v>
      </c>
      <c r="E328" s="5">
        <v>8</v>
      </c>
    </row>
    <row r="329" spans="1:5" x14ac:dyDescent="0.5">
      <c r="A329" s="3">
        <v>43609</v>
      </c>
      <c r="B329">
        <v>11.1</v>
      </c>
      <c r="C329">
        <v>26</v>
      </c>
      <c r="E329" s="5">
        <v>8.5500000000000007</v>
      </c>
    </row>
    <row r="330" spans="1:5" x14ac:dyDescent="0.5">
      <c r="A330" s="3">
        <v>43610</v>
      </c>
      <c r="B330">
        <v>10.3</v>
      </c>
      <c r="C330">
        <v>27</v>
      </c>
      <c r="E330" s="5">
        <v>8.6499999999999986</v>
      </c>
    </row>
    <row r="331" spans="1:5" x14ac:dyDescent="0.5">
      <c r="A331" s="3">
        <v>43611</v>
      </c>
      <c r="B331">
        <v>11.2</v>
      </c>
      <c r="C331">
        <v>23.6</v>
      </c>
      <c r="E331" s="5">
        <v>7.3999999999999986</v>
      </c>
    </row>
    <row r="332" spans="1:5" x14ac:dyDescent="0.5">
      <c r="A332" s="3">
        <v>43612</v>
      </c>
      <c r="B332">
        <v>7.8</v>
      </c>
      <c r="C332">
        <v>20.9</v>
      </c>
      <c r="E332" s="5">
        <v>5.4499999999999993</v>
      </c>
    </row>
    <row r="333" spans="1:5" x14ac:dyDescent="0.5">
      <c r="A333" s="3">
        <v>43613</v>
      </c>
      <c r="B333">
        <v>4.3</v>
      </c>
      <c r="C333">
        <v>20.3</v>
      </c>
      <c r="E333" s="5">
        <v>5.15</v>
      </c>
    </row>
    <row r="334" spans="1:5" x14ac:dyDescent="0.5">
      <c r="A334" s="3">
        <v>43614</v>
      </c>
      <c r="B334">
        <v>4.0999999999999996</v>
      </c>
      <c r="C334">
        <v>20.9</v>
      </c>
      <c r="E334" s="5">
        <v>5.4499999999999993</v>
      </c>
    </row>
    <row r="335" spans="1:5" x14ac:dyDescent="0.5">
      <c r="A335" s="3">
        <v>43615</v>
      </c>
      <c r="B335">
        <v>5.7</v>
      </c>
      <c r="C335">
        <v>18</v>
      </c>
      <c r="E335" s="5">
        <v>4</v>
      </c>
    </row>
    <row r="336" spans="1:5" x14ac:dyDescent="0.5">
      <c r="A336" s="3">
        <v>43616</v>
      </c>
      <c r="B336">
        <v>2.2000000000000002</v>
      </c>
      <c r="C336">
        <v>14.9</v>
      </c>
      <c r="E336" s="5">
        <v>2.4499999999999993</v>
      </c>
    </row>
    <row r="337" spans="1:5" x14ac:dyDescent="0.5">
      <c r="A337" s="3">
        <v>43617</v>
      </c>
      <c r="B337">
        <v>-0.3</v>
      </c>
      <c r="C337">
        <v>15.9</v>
      </c>
      <c r="E337" s="5">
        <v>2.9499999999999993</v>
      </c>
    </row>
    <row r="338" spans="1:5" x14ac:dyDescent="0.5">
      <c r="A338" s="3">
        <v>43618</v>
      </c>
      <c r="B338">
        <v>2.7</v>
      </c>
      <c r="C338">
        <v>17</v>
      </c>
      <c r="E338" s="5">
        <v>3.5</v>
      </c>
    </row>
    <row r="339" spans="1:5" x14ac:dyDescent="0.5">
      <c r="A339" s="3">
        <v>43619</v>
      </c>
      <c r="B339">
        <v>1.5</v>
      </c>
      <c r="C339">
        <v>17.600000000000001</v>
      </c>
      <c r="E339" s="5">
        <v>3.8000000000000007</v>
      </c>
    </row>
    <row r="340" spans="1:5" x14ac:dyDescent="0.5">
      <c r="A340" s="3">
        <v>43620</v>
      </c>
      <c r="B340">
        <v>2.5</v>
      </c>
      <c r="C340">
        <v>15.8</v>
      </c>
      <c r="E340" s="5">
        <v>2.9000000000000004</v>
      </c>
    </row>
    <row r="341" spans="1:5" x14ac:dyDescent="0.5">
      <c r="A341" s="3">
        <v>43621</v>
      </c>
      <c r="B341">
        <v>0.8</v>
      </c>
      <c r="C341">
        <v>14.6</v>
      </c>
      <c r="E341" s="5">
        <v>2.3000000000000007</v>
      </c>
    </row>
    <row r="342" spans="1:5" x14ac:dyDescent="0.5">
      <c r="A342" s="3">
        <v>43622</v>
      </c>
      <c r="B342">
        <v>0.6</v>
      </c>
      <c r="C342">
        <v>16.100000000000001</v>
      </c>
      <c r="E342" s="5">
        <v>3.0500000000000007</v>
      </c>
    </row>
    <row r="343" spans="1:5" x14ac:dyDescent="0.5">
      <c r="A343" s="3">
        <v>43623</v>
      </c>
      <c r="B343">
        <v>0.3</v>
      </c>
      <c r="C343">
        <v>17.2</v>
      </c>
      <c r="E343" s="5">
        <v>3.5999999999999996</v>
      </c>
    </row>
    <row r="344" spans="1:5" x14ac:dyDescent="0.5">
      <c r="A344" s="3">
        <v>43624</v>
      </c>
      <c r="B344">
        <v>-0.7</v>
      </c>
      <c r="C344">
        <v>21.3</v>
      </c>
      <c r="E344" s="5">
        <v>5.65</v>
      </c>
    </row>
    <row r="345" spans="1:5" x14ac:dyDescent="0.5">
      <c r="A345" s="3">
        <v>43625</v>
      </c>
      <c r="B345">
        <v>3.3</v>
      </c>
      <c r="C345">
        <v>26.9</v>
      </c>
      <c r="E345" s="5">
        <v>8.4499999999999993</v>
      </c>
    </row>
    <row r="346" spans="1:5" x14ac:dyDescent="0.5">
      <c r="A346" s="3">
        <v>43626</v>
      </c>
      <c r="B346">
        <v>10.9</v>
      </c>
      <c r="C346">
        <v>26.3</v>
      </c>
      <c r="E346" s="5">
        <v>8.6000000000000014</v>
      </c>
    </row>
    <row r="347" spans="1:5" x14ac:dyDescent="0.5">
      <c r="A347" s="3">
        <v>43627</v>
      </c>
      <c r="B347">
        <v>10.6</v>
      </c>
      <c r="C347">
        <v>31</v>
      </c>
      <c r="E347" s="5">
        <v>10.8</v>
      </c>
    </row>
    <row r="348" spans="1:5" x14ac:dyDescent="0.5">
      <c r="A348" s="3">
        <v>43628</v>
      </c>
      <c r="B348">
        <v>21.8</v>
      </c>
      <c r="C348">
        <v>27.1</v>
      </c>
      <c r="E348" s="5">
        <v>14.450000000000003</v>
      </c>
    </row>
    <row r="349" spans="1:5" x14ac:dyDescent="0.5">
      <c r="A349" s="3">
        <v>43629</v>
      </c>
      <c r="B349">
        <v>11.7</v>
      </c>
      <c r="C349">
        <v>22.7</v>
      </c>
      <c r="E349" s="5">
        <v>7.1999999999999993</v>
      </c>
    </row>
    <row r="350" spans="1:5" x14ac:dyDescent="0.5">
      <c r="A350" s="3">
        <v>43630</v>
      </c>
      <c r="B350">
        <v>8.3000000000000007</v>
      </c>
      <c r="C350">
        <v>22.1</v>
      </c>
      <c r="E350" s="5">
        <v>6.0500000000000007</v>
      </c>
    </row>
    <row r="351" spans="1:5" x14ac:dyDescent="0.5">
      <c r="A351" s="3">
        <v>43631</v>
      </c>
      <c r="B351">
        <v>11</v>
      </c>
      <c r="C351">
        <v>23.6</v>
      </c>
      <c r="E351" s="5">
        <v>7.3000000000000007</v>
      </c>
    </row>
    <row r="352" spans="1:5" x14ac:dyDescent="0.5">
      <c r="A352" s="3">
        <v>43632</v>
      </c>
      <c r="B352">
        <v>6.6</v>
      </c>
      <c r="C352">
        <v>21.1</v>
      </c>
      <c r="E352" s="5">
        <v>5.5500000000000007</v>
      </c>
    </row>
    <row r="353" spans="1:5" x14ac:dyDescent="0.5">
      <c r="A353" s="3">
        <v>43633</v>
      </c>
      <c r="B353">
        <v>3.9</v>
      </c>
      <c r="C353">
        <v>20.9</v>
      </c>
      <c r="E353" s="5">
        <v>5.4499999999999993</v>
      </c>
    </row>
    <row r="354" spans="1:5" x14ac:dyDescent="0.5">
      <c r="A354" s="3">
        <v>43634</v>
      </c>
      <c r="B354">
        <v>2.8</v>
      </c>
      <c r="C354">
        <v>18.7</v>
      </c>
      <c r="E354" s="5">
        <v>4.3499999999999996</v>
      </c>
    </row>
    <row r="355" spans="1:5" x14ac:dyDescent="0.5">
      <c r="A355" s="3">
        <v>43635</v>
      </c>
      <c r="B355">
        <v>3.1</v>
      </c>
      <c r="C355">
        <v>16.899999999999999</v>
      </c>
      <c r="E355" s="5">
        <v>3.4499999999999993</v>
      </c>
    </row>
    <row r="356" spans="1:5" x14ac:dyDescent="0.5">
      <c r="A356" s="3">
        <v>43636</v>
      </c>
      <c r="B356">
        <v>-0.1</v>
      </c>
      <c r="C356">
        <v>16.100000000000001</v>
      </c>
      <c r="E356" s="5">
        <v>3.0500000000000007</v>
      </c>
    </row>
    <row r="357" spans="1:5" x14ac:dyDescent="0.5">
      <c r="A357" s="3">
        <v>43637</v>
      </c>
      <c r="B357">
        <v>-1.2</v>
      </c>
      <c r="C357">
        <v>15.8</v>
      </c>
      <c r="E357" s="5">
        <v>2.9000000000000004</v>
      </c>
    </row>
    <row r="358" spans="1:5" x14ac:dyDescent="0.5">
      <c r="A358" s="3">
        <v>43638</v>
      </c>
      <c r="B358">
        <v>-3.2</v>
      </c>
      <c r="C358">
        <v>16.399999999999999</v>
      </c>
      <c r="E358" s="5">
        <v>3.1999999999999993</v>
      </c>
    </row>
    <row r="359" spans="1:5" x14ac:dyDescent="0.5">
      <c r="A359" s="3">
        <v>43639</v>
      </c>
      <c r="B359">
        <v>-1.7</v>
      </c>
      <c r="C359">
        <v>16.7</v>
      </c>
      <c r="E359" s="5">
        <v>3.3499999999999996</v>
      </c>
    </row>
    <row r="360" spans="1:5" x14ac:dyDescent="0.5">
      <c r="A360" s="3">
        <v>43640</v>
      </c>
      <c r="B360">
        <v>-1</v>
      </c>
      <c r="C360">
        <v>17.600000000000001</v>
      </c>
      <c r="E360" s="5">
        <v>3.8000000000000007</v>
      </c>
    </row>
    <row r="361" spans="1:5" x14ac:dyDescent="0.5">
      <c r="A361" s="3">
        <v>43641</v>
      </c>
      <c r="B361">
        <v>1.4</v>
      </c>
      <c r="C361">
        <v>20.3</v>
      </c>
      <c r="E361" s="5">
        <v>5.15</v>
      </c>
    </row>
    <row r="362" spans="1:5" x14ac:dyDescent="0.5">
      <c r="A362" s="3">
        <v>43642</v>
      </c>
      <c r="B362">
        <v>0.4</v>
      </c>
      <c r="C362">
        <v>19.8</v>
      </c>
      <c r="E362" s="5">
        <v>4.9000000000000004</v>
      </c>
    </row>
    <row r="363" spans="1:5" x14ac:dyDescent="0.5">
      <c r="A363" s="3">
        <v>43643</v>
      </c>
      <c r="B363">
        <v>1.4</v>
      </c>
      <c r="C363">
        <v>21.7</v>
      </c>
      <c r="E363" s="5">
        <v>5.85</v>
      </c>
    </row>
    <row r="364" spans="1:5" x14ac:dyDescent="0.5">
      <c r="A364" s="3">
        <v>43644</v>
      </c>
      <c r="B364">
        <v>3.1</v>
      </c>
      <c r="C364">
        <v>24.3</v>
      </c>
      <c r="E364" s="5">
        <v>7.1499999999999986</v>
      </c>
    </row>
    <row r="365" spans="1:5" x14ac:dyDescent="0.5">
      <c r="A365" s="3">
        <v>43645</v>
      </c>
      <c r="B365">
        <v>6.7</v>
      </c>
      <c r="C365">
        <v>20.2</v>
      </c>
      <c r="E365" s="5">
        <v>5.0999999999999996</v>
      </c>
    </row>
    <row r="366" spans="1:5" x14ac:dyDescent="0.5">
      <c r="A366" s="3">
        <v>43646</v>
      </c>
      <c r="B366">
        <v>0.5</v>
      </c>
      <c r="C366">
        <v>19.100000000000001</v>
      </c>
      <c r="E366" s="5">
        <v>4.5500000000000007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sqref="A1:B17"/>
    </sheetView>
  </sheetViews>
  <sheetFormatPr defaultColWidth="8.8125" defaultRowHeight="15.75" x14ac:dyDescent="0.5"/>
  <cols>
    <col min="1" max="1" width="13.5" style="1" bestFit="1" customWidth="1"/>
    <col min="2" max="2" width="9.1875" style="1" customWidth="1"/>
    <col min="3" max="16384" width="8.8125" style="1"/>
  </cols>
  <sheetData>
    <row r="1" spans="1:2" x14ac:dyDescent="0.5">
      <c r="A1" s="1" t="s">
        <v>0</v>
      </c>
      <c r="B1" s="1" t="s">
        <v>6</v>
      </c>
    </row>
    <row r="2" spans="1:2" x14ac:dyDescent="0.5">
      <c r="A2" s="1" t="s">
        <v>1</v>
      </c>
    </row>
    <row r="3" spans="1:2" x14ac:dyDescent="0.5">
      <c r="A3" s="1" t="s">
        <v>9</v>
      </c>
    </row>
    <row r="4" spans="1:2" x14ac:dyDescent="0.5">
      <c r="A4" s="1" t="s">
        <v>10</v>
      </c>
    </row>
    <row r="5" spans="1:2" x14ac:dyDescent="0.5">
      <c r="A5" s="1" t="s">
        <v>2</v>
      </c>
    </row>
    <row r="6" spans="1:2" x14ac:dyDescent="0.5">
      <c r="A6" s="1" t="s">
        <v>3</v>
      </c>
      <c r="B6" s="1" t="b">
        <v>0</v>
      </c>
    </row>
    <row r="7" spans="1:2" x14ac:dyDescent="0.5">
      <c r="A7" s="1" t="s">
        <v>4</v>
      </c>
    </row>
    <row r="8" spans="1:2" x14ac:dyDescent="0.5">
      <c r="A8" s="1" t="s">
        <v>5</v>
      </c>
      <c r="B8" s="1" t="b">
        <v>0</v>
      </c>
    </row>
    <row r="13" spans="1:2" x14ac:dyDescent="0.5">
      <c r="A13" s="2" t="s">
        <v>7</v>
      </c>
    </row>
    <row r="14" spans="1:2" x14ac:dyDescent="0.5">
      <c r="A14" s="1" t="s">
        <v>11</v>
      </c>
    </row>
    <row r="15" spans="1:2" x14ac:dyDescent="0.5">
      <c r="A15" s="1" t="s">
        <v>12</v>
      </c>
    </row>
    <row r="16" spans="1:2" x14ac:dyDescent="0.5">
      <c r="A16" s="1" t="s">
        <v>8</v>
      </c>
    </row>
    <row r="17" spans="1:1" x14ac:dyDescent="0.5">
      <c r="A17" s="1" t="s">
        <v>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03C8-A123-467F-B03A-FB8F123F2D92}">
  <sheetPr codeName="Sheet4"/>
  <dimension ref="A1:B17"/>
  <sheetViews>
    <sheetView workbookViewId="0">
      <selection activeCell="B2" sqref="B2"/>
    </sheetView>
  </sheetViews>
  <sheetFormatPr defaultRowHeight="15.75" x14ac:dyDescent="0.5"/>
  <cols>
    <col min="1" max="1" width="15.875" customWidth="1"/>
    <col min="2" max="2" width="10.3125" customWidth="1"/>
  </cols>
  <sheetData>
    <row r="1" spans="1:2" x14ac:dyDescent="0.5">
      <c r="A1" s="1" t="s">
        <v>68</v>
      </c>
      <c r="B1" s="1" t="s">
        <v>71</v>
      </c>
    </row>
    <row r="2" spans="1:2" x14ac:dyDescent="0.5">
      <c r="A2" s="1" t="s">
        <v>69</v>
      </c>
      <c r="B2" s="1" t="s">
        <v>70</v>
      </c>
    </row>
    <row r="9" spans="1:2" x14ac:dyDescent="0.5">
      <c r="A9" s="1"/>
      <c r="B9" s="1"/>
    </row>
    <row r="10" spans="1:2" x14ac:dyDescent="0.5">
      <c r="A10" s="1"/>
      <c r="B10" s="1"/>
    </row>
    <row r="11" spans="1:2" x14ac:dyDescent="0.5">
      <c r="A11" s="1"/>
      <c r="B11" s="1"/>
    </row>
    <row r="12" spans="1:2" x14ac:dyDescent="0.5">
      <c r="A12" s="1"/>
      <c r="B12" s="1"/>
    </row>
    <row r="13" spans="1:2" x14ac:dyDescent="0.5">
      <c r="A13" s="2" t="s">
        <v>7</v>
      </c>
      <c r="B13" s="1"/>
    </row>
    <row r="14" spans="1:2" x14ac:dyDescent="0.5">
      <c r="A14" s="1" t="s">
        <v>72</v>
      </c>
      <c r="B14" s="1"/>
    </row>
    <row r="15" spans="1:2" x14ac:dyDescent="0.5">
      <c r="A15" s="1" t="s">
        <v>73</v>
      </c>
      <c r="B15" s="1"/>
    </row>
    <row r="16" spans="1:2" x14ac:dyDescent="0.5">
      <c r="A16" s="1"/>
    </row>
    <row r="17" spans="1:1" x14ac:dyDescent="0.5">
      <c r="A1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Raw Data</vt:lpstr>
      <vt:lpstr>Constants</vt:lpstr>
      <vt:lpstr>Formulae</vt:lpstr>
      <vt:lpstr>Growing Degree Day</vt:lpstr>
      <vt:lpstr>_xlwings.conf</vt:lpstr>
      <vt:lpstr>FlyingKoala.conf</vt:lpstr>
      <vt:lpstr>Equation_1</vt:lpstr>
      <vt:lpstr>Equation_2</vt:lpstr>
      <vt:lpstr>T_base</vt:lpstr>
      <vt:lpstr>T_max</vt:lpstr>
      <vt:lpstr>T_min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bradb</cp:lastModifiedBy>
  <dcterms:created xsi:type="dcterms:W3CDTF">2015-01-25T11:31:25Z</dcterms:created>
  <dcterms:modified xsi:type="dcterms:W3CDTF">2019-07-30T14:04:36Z</dcterms:modified>
</cp:coreProperties>
</file>